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<sst xmlns="http://schemas.openxmlformats.org/spreadsheetml/2006/main" count="8" uniqueCount="8">
  <si>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U_V</t>
  </si>
  <si>
    <t>I_mA</t>
  </si>
  <si>
    <t>modifiedU1</t>
  </si>
  <si>
    <t>modifiedI1</t>
  </si>
  <si>
    <t>modifiedU2</t>
  </si>
  <si>
    <t>modifiedI2</t>
  </si>
  <si>
    <t>finalU</t>
  </si>
  <si>
    <t>finalI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</si>
</sst>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非线性负阻的伏安特性曲线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Sheet1!$D$2:$D$39</c:f>
              <c:numCache>
                <c:formatCode>General</c:formatCode>
                <c:ptCount val="38"/>
                <c:pt idx="0">
                  <c:v>-0.4935</c:v>
                </c:pt>
                <c:pt idx="1">
                  <c:v>-0.9911</c:v>
                </c:pt>
                <c:pt idx="2">
                  <c:v>-1.5041</c:v>
                </c:pt>
                <c:pt idx="3">
                  <c:v>-2.015</c:v>
                </c:pt>
                <c:pt idx="4">
                  <c:v>-2.5019</c:v>
                </c:pt>
                <c:pt idx="5">
                  <c:v>-3.0041</c:v>
                </c:pt>
                <c:pt idx="6">
                  <c:v>-3.5028</c:v>
                </c:pt>
                <c:pt idx="7">
                  <c:v>-4.0256</c:v>
                </c:pt>
                <c:pt idx="8">
                  <c:v>-4.5172</c:v>
                </c:pt>
                <c:pt idx="9">
                  <c:v>-5.0432</c:v>
                </c:pt>
                <c:pt idx="10">
                  <c:v>-5.509</c:v>
                </c:pt>
                <c:pt idx="11">
                  <c:v>-6.0044</c:v>
                </c:pt>
                <c:pt idx="12">
                  <c:v>-6.5126</c:v>
                </c:pt>
                <c:pt idx="13">
                  <c:v>-7.0086</c:v>
                </c:pt>
                <c:pt idx="14">
                  <c:v>-7.5241</c:v>
                </c:pt>
                <c:pt idx="15">
                  <c:v>-8.0348</c:v>
                </c:pt>
                <c:pt idx="16">
                  <c:v>-8.0401</c:v>
                </c:pt>
                <c:pt idx="17">
                  <c:v>-8.5193</c:v>
                </c:pt>
                <c:pt idx="18">
                  <c:v>-9.0131</c:v>
                </c:pt>
                <c:pt idx="19">
                  <c:v>-9.511</c:v>
                </c:pt>
                <c:pt idx="20">
                  <c:v>-9.9909</c:v>
                </c:pt>
                <c:pt idx="21">
                  <c:v>-10.0616</c:v>
                </c:pt>
                <c:pt idx="22">
                  <c:v>-10.063</c:v>
                </c:pt>
                <c:pt idx="23">
                  <c:v>-10.2045</c:v>
                </c:pt>
                <c:pt idx="24">
                  <c:v>-10.4065</c:v>
                </c:pt>
                <c:pt idx="25">
                  <c:v>-10.4107</c:v>
                </c:pt>
                <c:pt idx="26">
                  <c:v>-10.4123</c:v>
                </c:pt>
                <c:pt idx="27">
                  <c:v>-10.4146</c:v>
                </c:pt>
                <c:pt idx="28">
                  <c:v>-10.4364</c:v>
                </c:pt>
                <c:pt idx="29">
                  <c:v>-10.5038</c:v>
                </c:pt>
                <c:pt idx="30">
                  <c:v>-10.6032</c:v>
                </c:pt>
                <c:pt idx="31">
                  <c:v>-10.686</c:v>
                </c:pt>
                <c:pt idx="32">
                  <c:v>-10.771</c:v>
                </c:pt>
                <c:pt idx="33">
                  <c:v>-11.0351</c:v>
                </c:pt>
                <c:pt idx="34">
                  <c:v>-11.5054</c:v>
                </c:pt>
                <c:pt idx="35">
                  <c:v>-11.6446</c:v>
                </c:pt>
                <c:pt idx="36">
                  <c:v>-11.8901</c:v>
                </c:pt>
                <c:pt idx="37">
                  <c:v>-12.0279</c:v>
                </c:pt>
              </c:numCache>
            </c:numRef>
          </c:xVal>
          <c:yVal>
            <c:numRef>
              <c:f>Sheet1!$E$2:$E$39</c:f>
              <c:numCache>
                <c:formatCode>General</c:formatCode>
                <c:ptCount val="38"/>
                <c:pt idx="0">
                  <c:v>0.4244</c:v>
                </c:pt>
                <c:pt idx="1">
                  <c:v>0.8029</c:v>
                </c:pt>
                <c:pt idx="2">
                  <c:v>1.1922</c:v>
                </c:pt>
                <c:pt idx="3">
                  <c:v>1.4803</c:v>
                </c:pt>
                <c:pt idx="4">
                  <c:v>1.68</c:v>
                </c:pt>
                <c:pt idx="5">
                  <c:v>1.8863</c:v>
                </c:pt>
                <c:pt idx="6">
                  <c:v>2.0914</c:v>
                </c:pt>
                <c:pt idx="7">
                  <c:v>2.3068</c:v>
                </c:pt>
                <c:pt idx="8">
                  <c:v>2.5091</c:v>
                </c:pt>
                <c:pt idx="9">
                  <c:v>2.7253</c:v>
                </c:pt>
                <c:pt idx="10">
                  <c:v>2.9168</c:v>
                </c:pt>
                <c:pt idx="11">
                  <c:v>3.12</c:v>
                </c:pt>
                <c:pt idx="12">
                  <c:v>3.3288</c:v>
                </c:pt>
                <c:pt idx="13">
                  <c:v>3.5316</c:v>
                </c:pt>
                <c:pt idx="14">
                  <c:v>3.7433</c:v>
                </c:pt>
                <c:pt idx="15">
                  <c:v>3.9254</c:v>
                </c:pt>
                <c:pt idx="16">
                  <c:v>3.958</c:v>
                </c:pt>
                <c:pt idx="17">
                  <c:v>4.1551</c:v>
                </c:pt>
                <c:pt idx="18">
                  <c:v>4.3571</c:v>
                </c:pt>
                <c:pt idx="19">
                  <c:v>4.5601</c:v>
                </c:pt>
                <c:pt idx="20">
                  <c:v>4.7542</c:v>
                </c:pt>
                <c:pt idx="21">
                  <c:v>4.7832</c:v>
                </c:pt>
                <c:pt idx="22">
                  <c:v>4.7839</c:v>
                </c:pt>
                <c:pt idx="23">
                  <c:v>4.842</c:v>
                </c:pt>
                <c:pt idx="24">
                  <c:v>4.908</c:v>
                </c:pt>
                <c:pt idx="25">
                  <c:v>4.8984</c:v>
                </c:pt>
                <c:pt idx="26">
                  <c:v>4.8946</c:v>
                </c:pt>
                <c:pt idx="27">
                  <c:v>4.8888</c:v>
                </c:pt>
                <c:pt idx="28">
                  <c:v>4.8307</c:v>
                </c:pt>
                <c:pt idx="29">
                  <c:v>4.664</c:v>
                </c:pt>
                <c:pt idx="30">
                  <c:v>4.4113</c:v>
                </c:pt>
                <c:pt idx="31">
                  <c:v>4.2135</c:v>
                </c:pt>
                <c:pt idx="32">
                  <c:v>4.0091</c:v>
                </c:pt>
                <c:pt idx="33">
                  <c:v>3.3578</c:v>
                </c:pt>
                <c:pt idx="34">
                  <c:v>2.2293</c:v>
                </c:pt>
                <c:pt idx="35">
                  <c:v>1.8924</c:v>
                </c:pt>
                <c:pt idx="36">
                  <c:v>1.3043</c:v>
                </c:pt>
                <c:pt idx="37">
                  <c:v>0.9736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Sheet1!$F$2:$F$39</c:f>
              <c:numCache>
                <c:formatCode>General</c:formatCode>
                <c:ptCount val="38"/>
                <c:pt idx="0">
                  <c:v>0.4935</c:v>
                </c:pt>
                <c:pt idx="1">
                  <c:v>0.9911</c:v>
                </c:pt>
                <c:pt idx="2">
                  <c:v>1.5041</c:v>
                </c:pt>
                <c:pt idx="3">
                  <c:v>2.015</c:v>
                </c:pt>
                <c:pt idx="4">
                  <c:v>2.5019</c:v>
                </c:pt>
                <c:pt idx="5">
                  <c:v>3.0041</c:v>
                </c:pt>
                <c:pt idx="6">
                  <c:v>3.5028</c:v>
                </c:pt>
                <c:pt idx="7">
                  <c:v>4.0256</c:v>
                </c:pt>
                <c:pt idx="8">
                  <c:v>4.5172</c:v>
                </c:pt>
                <c:pt idx="9">
                  <c:v>5.0432</c:v>
                </c:pt>
                <c:pt idx="10">
                  <c:v>5.509</c:v>
                </c:pt>
                <c:pt idx="11">
                  <c:v>6.0044</c:v>
                </c:pt>
                <c:pt idx="12">
                  <c:v>6.5126</c:v>
                </c:pt>
                <c:pt idx="13">
                  <c:v>7.0086</c:v>
                </c:pt>
                <c:pt idx="14">
                  <c:v>7.5241</c:v>
                </c:pt>
                <c:pt idx="15">
                  <c:v>8.0348</c:v>
                </c:pt>
                <c:pt idx="16">
                  <c:v>8.0401</c:v>
                </c:pt>
                <c:pt idx="17">
                  <c:v>8.5193</c:v>
                </c:pt>
                <c:pt idx="18">
                  <c:v>9.0131</c:v>
                </c:pt>
                <c:pt idx="19">
                  <c:v>9.511</c:v>
                </c:pt>
                <c:pt idx="20">
                  <c:v>9.9909</c:v>
                </c:pt>
                <c:pt idx="21">
                  <c:v>10.0616</c:v>
                </c:pt>
                <c:pt idx="22">
                  <c:v>10.063</c:v>
                </c:pt>
                <c:pt idx="23">
                  <c:v>10.2045</c:v>
                </c:pt>
                <c:pt idx="24">
                  <c:v>10.4065</c:v>
                </c:pt>
                <c:pt idx="25">
                  <c:v>10.4107</c:v>
                </c:pt>
                <c:pt idx="26">
                  <c:v>10.4123</c:v>
                </c:pt>
                <c:pt idx="27">
                  <c:v>10.4146</c:v>
                </c:pt>
                <c:pt idx="28">
                  <c:v>10.4364</c:v>
                </c:pt>
                <c:pt idx="29">
                  <c:v>10.5038</c:v>
                </c:pt>
                <c:pt idx="30">
                  <c:v>10.6032</c:v>
                </c:pt>
                <c:pt idx="31">
                  <c:v>10.686</c:v>
                </c:pt>
                <c:pt idx="32">
                  <c:v>10.771</c:v>
                </c:pt>
                <c:pt idx="33">
                  <c:v>11.0351</c:v>
                </c:pt>
                <c:pt idx="34">
                  <c:v>11.5054</c:v>
                </c:pt>
                <c:pt idx="35">
                  <c:v>11.6446</c:v>
                </c:pt>
                <c:pt idx="36">
                  <c:v>11.8901</c:v>
                </c:pt>
                <c:pt idx="37">
                  <c:v>12.0279</c:v>
                </c:pt>
              </c:numCache>
            </c:numRef>
          </c:xVal>
          <c:yVal>
            <c:numRef>
              <c:f>Sheet1!$G$2:$G$39</c:f>
              <c:numCache>
                <c:formatCode>General</c:formatCode>
                <c:ptCount val="38"/>
                <c:pt idx="0">
                  <c:v>-0.4244</c:v>
                </c:pt>
                <c:pt idx="1">
                  <c:v>-0.8029</c:v>
                </c:pt>
                <c:pt idx="2">
                  <c:v>-1.1922</c:v>
                </c:pt>
                <c:pt idx="3">
                  <c:v>-1.4803</c:v>
                </c:pt>
                <c:pt idx="4">
                  <c:v>-1.68</c:v>
                </c:pt>
                <c:pt idx="5">
                  <c:v>-1.8863</c:v>
                </c:pt>
                <c:pt idx="6">
                  <c:v>-2.0914</c:v>
                </c:pt>
                <c:pt idx="7">
                  <c:v>-2.3068</c:v>
                </c:pt>
                <c:pt idx="8">
                  <c:v>-2.5091</c:v>
                </c:pt>
                <c:pt idx="9">
                  <c:v>-2.7253</c:v>
                </c:pt>
                <c:pt idx="10">
                  <c:v>-2.9168</c:v>
                </c:pt>
                <c:pt idx="11">
                  <c:v>-3.12</c:v>
                </c:pt>
                <c:pt idx="12">
                  <c:v>-3.3288</c:v>
                </c:pt>
                <c:pt idx="13">
                  <c:v>-3.5316</c:v>
                </c:pt>
                <c:pt idx="14">
                  <c:v>-3.7433</c:v>
                </c:pt>
                <c:pt idx="15">
                  <c:v>-3.9254</c:v>
                </c:pt>
                <c:pt idx="16">
                  <c:v>-3.958</c:v>
                </c:pt>
                <c:pt idx="17">
                  <c:v>-4.1551</c:v>
                </c:pt>
                <c:pt idx="18">
                  <c:v>-4.3571</c:v>
                </c:pt>
                <c:pt idx="19">
                  <c:v>-4.5601</c:v>
                </c:pt>
                <c:pt idx="20">
                  <c:v>-4.7542</c:v>
                </c:pt>
                <c:pt idx="21">
                  <c:v>-4.7832</c:v>
                </c:pt>
                <c:pt idx="22">
                  <c:v>-4.7839</c:v>
                </c:pt>
                <c:pt idx="23">
                  <c:v>-4.842</c:v>
                </c:pt>
                <c:pt idx="24">
                  <c:v>-4.908</c:v>
                </c:pt>
                <c:pt idx="25">
                  <c:v>-4.8984</c:v>
                </c:pt>
                <c:pt idx="26">
                  <c:v>-4.8946</c:v>
                </c:pt>
                <c:pt idx="27">
                  <c:v>-4.8888</c:v>
                </c:pt>
                <c:pt idx="28">
                  <c:v>-4.8307</c:v>
                </c:pt>
                <c:pt idx="29">
                  <c:v>-4.664</c:v>
                </c:pt>
                <c:pt idx="30">
                  <c:v>-4.4113</c:v>
                </c:pt>
                <c:pt idx="31">
                  <c:v>-4.2135</c:v>
                </c:pt>
                <c:pt idx="32">
                  <c:v>-4.0091</c:v>
                </c:pt>
                <c:pt idx="33">
                  <c:v>-3.3578</c:v>
                </c:pt>
                <c:pt idx="34">
                  <c:v>-2.2293</c:v>
                </c:pt>
                <c:pt idx="35">
                  <c:v>-1.8924</c:v>
                </c:pt>
                <c:pt idx="36">
                  <c:v>-1.3043</c:v>
                </c:pt>
                <c:pt idx="37">
                  <c:v>-0.9736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643185"/>
        <c:axId val="677394153"/>
      </c:scatterChart>
      <c:valAx>
        <c:axId val="3666431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394153"/>
        <c:crosses val="autoZero"/>
        <c:crossBetween val="midCat"/>
      </c:valAx>
      <c:valAx>
        <c:axId val="6773941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64318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34210526315789"/>
                  <c:y val="-0.0254629629629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Sheet1!$F$2:$F$6</c:f>
              <c:numCache>
                <c:formatCode>General</c:formatCode>
                <c:ptCount val="5"/>
                <c:pt idx="0">
                  <c:v>0.4935</c:v>
                </c:pt>
                <c:pt idx="1">
                  <c:v>0.9911</c:v>
                </c:pt>
                <c:pt idx="2">
                  <c:v>1.5041</c:v>
                </c:pt>
                <c:pt idx="3">
                  <c:v>2.015</c:v>
                </c:pt>
                <c:pt idx="4">
                  <c:v>2.5019</c:v>
                </c:pt>
              </c:numCache>
            </c:numRef>
          </c:xVal>
          <c:yVal>
            <c:numRef>
              <c:f>Sheet1!$G$2:$G$6</c:f>
              <c:numCache>
                <c:formatCode>General</c:formatCode>
                <c:ptCount val="5"/>
                <c:pt idx="0">
                  <c:v>-0.4244</c:v>
                </c:pt>
                <c:pt idx="1">
                  <c:v>-0.8029</c:v>
                </c:pt>
                <c:pt idx="2">
                  <c:v>-1.1922</c:v>
                </c:pt>
                <c:pt idx="3">
                  <c:v>-1.4803</c:v>
                </c:pt>
                <c:pt idx="4">
                  <c:v>-1.68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38340"/>
        <c:axId val="493557366"/>
      </c:scatterChart>
      <c:valAx>
        <c:axId val="2081383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557366"/>
        <c:crosses val="autoZero"/>
        <c:crossBetween val="midCat"/>
      </c:valAx>
      <c:valAx>
        <c:axId val="4935573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13834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0789473684211"/>
                  <c:y val="0.01388888888888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Sheet1!$F$7:$F$27</c:f>
              <c:numCache>
                <c:formatCode>General</c:formatCode>
                <c:ptCount val="21"/>
                <c:pt idx="0">
                  <c:v>3.0041</c:v>
                </c:pt>
                <c:pt idx="1">
                  <c:v>3.5028</c:v>
                </c:pt>
                <c:pt idx="2">
                  <c:v>4.0256</c:v>
                </c:pt>
                <c:pt idx="3">
                  <c:v>4.5172</c:v>
                </c:pt>
                <c:pt idx="4">
                  <c:v>5.0432</c:v>
                </c:pt>
                <c:pt idx="5">
                  <c:v>5.509</c:v>
                </c:pt>
                <c:pt idx="6">
                  <c:v>6.0044</c:v>
                </c:pt>
                <c:pt idx="7">
                  <c:v>6.5126</c:v>
                </c:pt>
                <c:pt idx="8">
                  <c:v>7.0086</c:v>
                </c:pt>
                <c:pt idx="9">
                  <c:v>7.5241</c:v>
                </c:pt>
                <c:pt idx="10">
                  <c:v>8.0348</c:v>
                </c:pt>
                <c:pt idx="11">
                  <c:v>8.0401</c:v>
                </c:pt>
                <c:pt idx="12">
                  <c:v>8.5193</c:v>
                </c:pt>
                <c:pt idx="13">
                  <c:v>9.0131</c:v>
                </c:pt>
                <c:pt idx="14">
                  <c:v>9.511</c:v>
                </c:pt>
                <c:pt idx="15">
                  <c:v>9.9909</c:v>
                </c:pt>
                <c:pt idx="16">
                  <c:v>10.0616</c:v>
                </c:pt>
                <c:pt idx="17">
                  <c:v>10.063</c:v>
                </c:pt>
                <c:pt idx="18">
                  <c:v>10.2045</c:v>
                </c:pt>
                <c:pt idx="19">
                  <c:v>10.4065</c:v>
                </c:pt>
                <c:pt idx="20">
                  <c:v>10.4107</c:v>
                </c:pt>
              </c:numCache>
            </c:numRef>
          </c:xVal>
          <c:yVal>
            <c:numRef>
              <c:f>Sheet1!$G$7:$G$27</c:f>
              <c:numCache>
                <c:formatCode>General</c:formatCode>
                <c:ptCount val="21"/>
                <c:pt idx="0">
                  <c:v>-1.8863</c:v>
                </c:pt>
                <c:pt idx="1">
                  <c:v>-2.0914</c:v>
                </c:pt>
                <c:pt idx="2">
                  <c:v>-2.3068</c:v>
                </c:pt>
                <c:pt idx="3">
                  <c:v>-2.5091</c:v>
                </c:pt>
                <c:pt idx="4">
                  <c:v>-2.7253</c:v>
                </c:pt>
                <c:pt idx="5">
                  <c:v>-2.9168</c:v>
                </c:pt>
                <c:pt idx="6">
                  <c:v>-3.12</c:v>
                </c:pt>
                <c:pt idx="7">
                  <c:v>-3.3288</c:v>
                </c:pt>
                <c:pt idx="8">
                  <c:v>-3.5316</c:v>
                </c:pt>
                <c:pt idx="9">
                  <c:v>-3.7433</c:v>
                </c:pt>
                <c:pt idx="10">
                  <c:v>-3.9254</c:v>
                </c:pt>
                <c:pt idx="11">
                  <c:v>-3.958</c:v>
                </c:pt>
                <c:pt idx="12">
                  <c:v>-4.1551</c:v>
                </c:pt>
                <c:pt idx="13">
                  <c:v>-4.3571</c:v>
                </c:pt>
                <c:pt idx="14">
                  <c:v>-4.5601</c:v>
                </c:pt>
                <c:pt idx="15">
                  <c:v>-4.7542</c:v>
                </c:pt>
                <c:pt idx="16">
                  <c:v>-4.7832</c:v>
                </c:pt>
                <c:pt idx="17">
                  <c:v>-4.7839</c:v>
                </c:pt>
                <c:pt idx="18">
                  <c:v>-4.842</c:v>
                </c:pt>
                <c:pt idx="19">
                  <c:v>-4.908</c:v>
                </c:pt>
                <c:pt idx="20">
                  <c:v>-4.8984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531638"/>
        <c:axId val="331840497"/>
      </c:scatterChart>
      <c:valAx>
        <c:axId val="6765316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840497"/>
        <c:crosses val="autoZero"/>
        <c:crossBetween val="midCat"/>
      </c:valAx>
      <c:valAx>
        <c:axId val="3318404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5316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368421052631579"/>
                  <c:y val="0.361111111111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Sheet1!$F$28:$F$39</c:f>
              <c:numCache>
                <c:formatCode>General</c:formatCode>
                <c:ptCount val="12"/>
                <c:pt idx="0">
                  <c:v>10.4123</c:v>
                </c:pt>
                <c:pt idx="1">
                  <c:v>10.4146</c:v>
                </c:pt>
                <c:pt idx="2">
                  <c:v>10.4364</c:v>
                </c:pt>
                <c:pt idx="3">
                  <c:v>10.5038</c:v>
                </c:pt>
                <c:pt idx="4">
                  <c:v>10.6032</c:v>
                </c:pt>
                <c:pt idx="5">
                  <c:v>10.686</c:v>
                </c:pt>
                <c:pt idx="6">
                  <c:v>10.771</c:v>
                </c:pt>
                <c:pt idx="7">
                  <c:v>11.0351</c:v>
                </c:pt>
                <c:pt idx="8">
                  <c:v>11.5054</c:v>
                </c:pt>
                <c:pt idx="9">
                  <c:v>11.6446</c:v>
                </c:pt>
                <c:pt idx="10">
                  <c:v>11.8901</c:v>
                </c:pt>
                <c:pt idx="11">
                  <c:v>12.0279</c:v>
                </c:pt>
              </c:numCache>
            </c:numRef>
          </c:xVal>
          <c:yVal>
            <c:numRef>
              <c:f>Sheet1!$G$28:$G$39</c:f>
              <c:numCache>
                <c:formatCode>General</c:formatCode>
                <c:ptCount val="12"/>
                <c:pt idx="0">
                  <c:v>-4.8946</c:v>
                </c:pt>
                <c:pt idx="1">
                  <c:v>-4.8888</c:v>
                </c:pt>
                <c:pt idx="2">
                  <c:v>-4.8307</c:v>
                </c:pt>
                <c:pt idx="3">
                  <c:v>-4.664</c:v>
                </c:pt>
                <c:pt idx="4">
                  <c:v>-4.4113</c:v>
                </c:pt>
                <c:pt idx="5">
                  <c:v>-4.2135</c:v>
                </c:pt>
                <c:pt idx="6">
                  <c:v>-4.0091</c:v>
                </c:pt>
                <c:pt idx="7">
                  <c:v>-3.3578</c:v>
                </c:pt>
                <c:pt idx="8">
                  <c:v>-2.2293</c:v>
                </c:pt>
                <c:pt idx="9">
                  <c:v>-1.8924</c:v>
                </c:pt>
                <c:pt idx="10">
                  <c:v>-1.3043</c:v>
                </c:pt>
                <c:pt idx="11">
                  <c:v>-0.9736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765109"/>
        <c:axId val="739625842"/>
      </c:scatterChart>
      <c:valAx>
        <c:axId val="9047651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625842"/>
        <c:crosses val="autoZero"/>
        <c:crossBetween val="midCat"/>
      </c:valAx>
      <c:valAx>
        <c:axId val="7396258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7651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finalI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Sheet1!$J$2:$J$77</c:f>
              <c:numCache>
                <c:formatCode>General</c:formatCode>
                <c:ptCount val="76"/>
                <c:pt idx="0">
                  <c:v>-12.0279</c:v>
                </c:pt>
                <c:pt idx="1">
                  <c:v>-11.8901</c:v>
                </c:pt>
                <c:pt idx="2">
                  <c:v>-11.6446</c:v>
                </c:pt>
                <c:pt idx="3">
                  <c:v>-11.5054</c:v>
                </c:pt>
                <c:pt idx="4">
                  <c:v>-11.0351</c:v>
                </c:pt>
                <c:pt idx="5">
                  <c:v>-10.771</c:v>
                </c:pt>
                <c:pt idx="6">
                  <c:v>-10.686</c:v>
                </c:pt>
                <c:pt idx="7">
                  <c:v>-10.6032</c:v>
                </c:pt>
                <c:pt idx="8">
                  <c:v>-10.5038</c:v>
                </c:pt>
                <c:pt idx="9">
                  <c:v>-10.4364</c:v>
                </c:pt>
                <c:pt idx="10">
                  <c:v>-10.4146</c:v>
                </c:pt>
                <c:pt idx="11">
                  <c:v>-10.4123</c:v>
                </c:pt>
                <c:pt idx="12">
                  <c:v>-10.4107</c:v>
                </c:pt>
                <c:pt idx="13">
                  <c:v>-10.4065</c:v>
                </c:pt>
                <c:pt idx="14">
                  <c:v>-10.2045</c:v>
                </c:pt>
                <c:pt idx="15">
                  <c:v>-10.063</c:v>
                </c:pt>
                <c:pt idx="16">
                  <c:v>-10.0616</c:v>
                </c:pt>
                <c:pt idx="17">
                  <c:v>-9.9909</c:v>
                </c:pt>
                <c:pt idx="18">
                  <c:v>-9.511</c:v>
                </c:pt>
                <c:pt idx="19">
                  <c:v>-9.0131</c:v>
                </c:pt>
                <c:pt idx="20">
                  <c:v>-8.5193</c:v>
                </c:pt>
                <c:pt idx="21">
                  <c:v>-8.0401</c:v>
                </c:pt>
                <c:pt idx="22">
                  <c:v>-8.0348</c:v>
                </c:pt>
                <c:pt idx="23">
                  <c:v>-7.5241</c:v>
                </c:pt>
                <c:pt idx="24">
                  <c:v>-7.0086</c:v>
                </c:pt>
                <c:pt idx="25">
                  <c:v>-6.5126</c:v>
                </c:pt>
                <c:pt idx="26">
                  <c:v>-6.0044</c:v>
                </c:pt>
                <c:pt idx="27">
                  <c:v>-5.509</c:v>
                </c:pt>
                <c:pt idx="28">
                  <c:v>-5.0432</c:v>
                </c:pt>
                <c:pt idx="29">
                  <c:v>-4.5172</c:v>
                </c:pt>
                <c:pt idx="30">
                  <c:v>-4.0256</c:v>
                </c:pt>
                <c:pt idx="31">
                  <c:v>-3.5028</c:v>
                </c:pt>
                <c:pt idx="32">
                  <c:v>-3.0041</c:v>
                </c:pt>
                <c:pt idx="33">
                  <c:v>-2.5019</c:v>
                </c:pt>
                <c:pt idx="34">
                  <c:v>-2.015</c:v>
                </c:pt>
                <c:pt idx="35">
                  <c:v>-1.5041</c:v>
                </c:pt>
                <c:pt idx="36">
                  <c:v>-0.9911</c:v>
                </c:pt>
                <c:pt idx="37">
                  <c:v>-0.4935</c:v>
                </c:pt>
                <c:pt idx="38">
                  <c:v>0.4935</c:v>
                </c:pt>
                <c:pt idx="39">
                  <c:v>0.9911</c:v>
                </c:pt>
                <c:pt idx="40">
                  <c:v>1.5041</c:v>
                </c:pt>
                <c:pt idx="41" c:formatCode="0.0000_ ">
                  <c:v>2.015</c:v>
                </c:pt>
                <c:pt idx="42">
                  <c:v>2.5019</c:v>
                </c:pt>
                <c:pt idx="43">
                  <c:v>3.0041</c:v>
                </c:pt>
                <c:pt idx="44">
                  <c:v>3.5028</c:v>
                </c:pt>
                <c:pt idx="45">
                  <c:v>4.0256</c:v>
                </c:pt>
                <c:pt idx="46">
                  <c:v>4.5172</c:v>
                </c:pt>
                <c:pt idx="47">
                  <c:v>5.0432</c:v>
                </c:pt>
                <c:pt idx="48" c:formatCode="0.0000_ ">
                  <c:v>5.509</c:v>
                </c:pt>
                <c:pt idx="49">
                  <c:v>6.0044</c:v>
                </c:pt>
                <c:pt idx="50">
                  <c:v>6.5126</c:v>
                </c:pt>
                <c:pt idx="51">
                  <c:v>7.0086</c:v>
                </c:pt>
                <c:pt idx="52">
                  <c:v>7.5241</c:v>
                </c:pt>
                <c:pt idx="53">
                  <c:v>8.0348</c:v>
                </c:pt>
                <c:pt idx="54">
                  <c:v>8.0401</c:v>
                </c:pt>
                <c:pt idx="55">
                  <c:v>8.5193</c:v>
                </c:pt>
                <c:pt idx="56">
                  <c:v>9.0131</c:v>
                </c:pt>
                <c:pt idx="57" c:formatCode="0.0000_ ">
                  <c:v>9.511</c:v>
                </c:pt>
                <c:pt idx="58">
                  <c:v>9.9909</c:v>
                </c:pt>
                <c:pt idx="59">
                  <c:v>10.0616</c:v>
                </c:pt>
                <c:pt idx="60" c:formatCode="0.0000_ ">
                  <c:v>10.063</c:v>
                </c:pt>
                <c:pt idx="61">
                  <c:v>10.2045</c:v>
                </c:pt>
                <c:pt idx="62">
                  <c:v>10.4065</c:v>
                </c:pt>
                <c:pt idx="63">
                  <c:v>10.4107</c:v>
                </c:pt>
                <c:pt idx="64">
                  <c:v>10.4123</c:v>
                </c:pt>
                <c:pt idx="65">
                  <c:v>10.4146</c:v>
                </c:pt>
                <c:pt idx="66">
                  <c:v>10.4364</c:v>
                </c:pt>
                <c:pt idx="67">
                  <c:v>10.5038</c:v>
                </c:pt>
                <c:pt idx="68">
                  <c:v>10.6032</c:v>
                </c:pt>
                <c:pt idx="69" c:formatCode="0.0000_ ">
                  <c:v>10.686</c:v>
                </c:pt>
                <c:pt idx="70" c:formatCode="0.0000_ ">
                  <c:v>10.771</c:v>
                </c:pt>
                <c:pt idx="71">
                  <c:v>11.0351</c:v>
                </c:pt>
                <c:pt idx="72">
                  <c:v>11.5054</c:v>
                </c:pt>
                <c:pt idx="73">
                  <c:v>11.6446</c:v>
                </c:pt>
                <c:pt idx="74">
                  <c:v>11.8901</c:v>
                </c:pt>
                <c:pt idx="75">
                  <c:v>12.0279</c:v>
                </c:pt>
              </c:numCache>
            </c:numRef>
          </c:xVal>
          <c:yVal>
            <c:numRef>
              <c:f>Sheet1!$K$2:$K$77</c:f>
              <c:numCache>
                <c:formatCode>General</c:formatCode>
                <c:ptCount val="76"/>
                <c:pt idx="0">
                  <c:v>0.9736</c:v>
                </c:pt>
                <c:pt idx="1">
                  <c:v>1.3043</c:v>
                </c:pt>
                <c:pt idx="2">
                  <c:v>1.8924</c:v>
                </c:pt>
                <c:pt idx="3">
                  <c:v>2.2293</c:v>
                </c:pt>
                <c:pt idx="4">
                  <c:v>3.3578</c:v>
                </c:pt>
                <c:pt idx="5">
                  <c:v>4.0091</c:v>
                </c:pt>
                <c:pt idx="6">
                  <c:v>4.2135</c:v>
                </c:pt>
                <c:pt idx="7">
                  <c:v>4.4113</c:v>
                </c:pt>
                <c:pt idx="8" c:formatCode="0.0000_ ">
                  <c:v>4.664</c:v>
                </c:pt>
                <c:pt idx="9">
                  <c:v>4.8307</c:v>
                </c:pt>
                <c:pt idx="10">
                  <c:v>4.8888</c:v>
                </c:pt>
                <c:pt idx="11">
                  <c:v>4.8946</c:v>
                </c:pt>
                <c:pt idx="12">
                  <c:v>4.8984</c:v>
                </c:pt>
                <c:pt idx="13" c:formatCode="0.0000_ ">
                  <c:v>4.908</c:v>
                </c:pt>
                <c:pt idx="14" c:formatCode="0.0000_ ">
                  <c:v>4.842</c:v>
                </c:pt>
                <c:pt idx="15">
                  <c:v>4.7839</c:v>
                </c:pt>
                <c:pt idx="16">
                  <c:v>4.7832</c:v>
                </c:pt>
                <c:pt idx="17">
                  <c:v>4.7542</c:v>
                </c:pt>
                <c:pt idx="18">
                  <c:v>4.5601</c:v>
                </c:pt>
                <c:pt idx="19">
                  <c:v>4.3571</c:v>
                </c:pt>
                <c:pt idx="20">
                  <c:v>4.1551</c:v>
                </c:pt>
                <c:pt idx="21" c:formatCode="0.0000_ ">
                  <c:v>3.958</c:v>
                </c:pt>
                <c:pt idx="22">
                  <c:v>3.9254</c:v>
                </c:pt>
                <c:pt idx="23">
                  <c:v>3.7433</c:v>
                </c:pt>
                <c:pt idx="24">
                  <c:v>3.5316</c:v>
                </c:pt>
                <c:pt idx="25">
                  <c:v>3.3288</c:v>
                </c:pt>
                <c:pt idx="26" c:formatCode="0.0000_ ">
                  <c:v>3.12</c:v>
                </c:pt>
                <c:pt idx="27">
                  <c:v>2.9168</c:v>
                </c:pt>
                <c:pt idx="28">
                  <c:v>2.7253</c:v>
                </c:pt>
                <c:pt idx="29">
                  <c:v>2.5091</c:v>
                </c:pt>
                <c:pt idx="30">
                  <c:v>2.3068</c:v>
                </c:pt>
                <c:pt idx="31">
                  <c:v>2.0914</c:v>
                </c:pt>
                <c:pt idx="32">
                  <c:v>1.8863</c:v>
                </c:pt>
                <c:pt idx="33" c:formatCode="0.0000_ ">
                  <c:v>1.68</c:v>
                </c:pt>
                <c:pt idx="34">
                  <c:v>1.4803</c:v>
                </c:pt>
                <c:pt idx="35">
                  <c:v>1.1922</c:v>
                </c:pt>
                <c:pt idx="36">
                  <c:v>0.8029</c:v>
                </c:pt>
                <c:pt idx="37">
                  <c:v>0.4244</c:v>
                </c:pt>
                <c:pt idx="38">
                  <c:v>-0.4244</c:v>
                </c:pt>
                <c:pt idx="39">
                  <c:v>-0.8029</c:v>
                </c:pt>
                <c:pt idx="40">
                  <c:v>-1.1922</c:v>
                </c:pt>
                <c:pt idx="41">
                  <c:v>-1.4803</c:v>
                </c:pt>
                <c:pt idx="42">
                  <c:v>-1.68</c:v>
                </c:pt>
                <c:pt idx="43">
                  <c:v>-1.8863</c:v>
                </c:pt>
                <c:pt idx="44">
                  <c:v>-2.0914</c:v>
                </c:pt>
                <c:pt idx="45">
                  <c:v>-2.3068</c:v>
                </c:pt>
                <c:pt idx="46">
                  <c:v>-2.5091</c:v>
                </c:pt>
                <c:pt idx="47">
                  <c:v>-2.7253</c:v>
                </c:pt>
                <c:pt idx="48">
                  <c:v>-2.9168</c:v>
                </c:pt>
                <c:pt idx="49">
                  <c:v>-3.12</c:v>
                </c:pt>
                <c:pt idx="50">
                  <c:v>-3.3288</c:v>
                </c:pt>
                <c:pt idx="51">
                  <c:v>-3.5316</c:v>
                </c:pt>
                <c:pt idx="52">
                  <c:v>-3.7433</c:v>
                </c:pt>
                <c:pt idx="53">
                  <c:v>-3.9254</c:v>
                </c:pt>
                <c:pt idx="54">
                  <c:v>-3.958</c:v>
                </c:pt>
                <c:pt idx="55">
                  <c:v>-4.1551</c:v>
                </c:pt>
                <c:pt idx="56">
                  <c:v>-4.3571</c:v>
                </c:pt>
                <c:pt idx="57">
                  <c:v>-4.5601</c:v>
                </c:pt>
                <c:pt idx="58">
                  <c:v>-4.7542</c:v>
                </c:pt>
                <c:pt idx="59">
                  <c:v>-4.7832</c:v>
                </c:pt>
                <c:pt idx="60">
                  <c:v>-4.7839</c:v>
                </c:pt>
                <c:pt idx="61">
                  <c:v>-4.842</c:v>
                </c:pt>
                <c:pt idx="62">
                  <c:v>-4.908</c:v>
                </c:pt>
                <c:pt idx="63">
                  <c:v>-4.8984</c:v>
                </c:pt>
                <c:pt idx="64">
                  <c:v>-4.8946</c:v>
                </c:pt>
                <c:pt idx="65">
                  <c:v>-4.8888</c:v>
                </c:pt>
                <c:pt idx="66">
                  <c:v>-4.8307</c:v>
                </c:pt>
                <c:pt idx="67">
                  <c:v>-4.664</c:v>
                </c:pt>
                <c:pt idx="68">
                  <c:v>-4.4113</c:v>
                </c:pt>
                <c:pt idx="69">
                  <c:v>-4.2135</c:v>
                </c:pt>
                <c:pt idx="70">
                  <c:v>-4.0091</c:v>
                </c:pt>
                <c:pt idx="71">
                  <c:v>-3.3578</c:v>
                </c:pt>
                <c:pt idx="72">
                  <c:v>-2.2293</c:v>
                </c:pt>
                <c:pt idx="73">
                  <c:v>-1.8924</c:v>
                </c:pt>
                <c:pt idx="74">
                  <c:v>-1.3043</c:v>
                </c:pt>
                <c:pt idx="75">
                  <c:v>-0.9736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56352"/>
        <c:axId val="346110083"/>
      </c:scatterChart>
      <c:valAx>
        <c:axId val="27045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110083"/>
        <c:crosses val="autoZero"/>
        <c:crossBetween val="midCat"/>
      </c:valAx>
      <c:valAx>
        <c:axId val="3461100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4563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304800</xdr:colOff>
      <xdr:row>3</xdr:row>
      <xdr:rowOff>133350</xdr:rowOff>
    </xdr:from>
    <xdr:to>
      <xdr:col>21</xdr:col>
      <xdr:colOff>101600</xdr:colOff>
      <xdr:row>19</xdr:row>
      <xdr:rowOff>31750</xdr:rowOff>
    </xdr:to>
    <xdr:graphicFrame>
      <xdr:nvGraphicFramePr>
        <xdr:cNvPr id="4" name="图表 3"/>
        <xdr:cNvGraphicFramePr/>
      </xdr:nvGraphicFramePr>
      <xdr:xfrm>
        <a:off x="9296400" y="666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254000</xdr:colOff>
      <xdr:row>18</xdr:row>
      <xdr:rowOff>107950</xdr:rowOff>
    </xdr:from>
    <xdr:to>
      <xdr:col>20</xdr:col>
      <xdr:colOff>50800</xdr:colOff>
      <xdr:row>34</xdr:row>
      <xdr:rowOff>6350</xdr:rowOff>
    </xdr:to>
    <xdr:graphicFrame>
      <xdr:nvGraphicFramePr>
        <xdr:cNvPr id="5" name="图表 4"/>
        <xdr:cNvGraphicFramePr/>
      </xdr:nvGraphicFramePr>
      <xdr:xfrm>
        <a:off x="8616950" y="3308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12700</xdr:colOff>
      <xdr:row>34</xdr:row>
      <xdr:rowOff>152400</xdr:rowOff>
    </xdr:from>
    <xdr:to>
      <xdr:col>20</xdr:col>
      <xdr:colOff>438150</xdr:colOff>
      <xdr:row>50</xdr:row>
      <xdr:rowOff>50800</xdr:rowOff>
    </xdr:to>
    <xdr:graphicFrame>
      <xdr:nvGraphicFramePr>
        <xdr:cNvPr id="6" name="图表 5"/>
        <xdr:cNvGraphicFramePr/>
      </xdr:nvGraphicFramePr>
      <xdr:xfrm>
        <a:off x="9004300" y="619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285750</xdr:colOff>
      <xdr:row>55</xdr:row>
      <xdr:rowOff>127000</xdr:rowOff>
    </xdr:from>
    <xdr:to>
      <xdr:col>21</xdr:col>
      <xdr:colOff>82550</xdr:colOff>
      <xdr:row>71</xdr:row>
      <xdr:rowOff>25400</xdr:rowOff>
    </xdr:to>
    <xdr:graphicFrame>
      <xdr:nvGraphicFramePr>
        <xdr:cNvPr id="7" name="图表 6"/>
        <xdr:cNvGraphicFramePr/>
      </xdr:nvGraphicFramePr>
      <xdr:xfrm>
        <a:off x="9277350" y="9906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501650</xdr:colOff>
      <xdr:row>31</xdr:row>
      <xdr:rowOff>0</xdr:rowOff>
    </xdr:from>
    <xdr:to>
      <xdr:col>8</xdr:col>
      <xdr:colOff>222250</xdr:colOff>
      <xdr:row>46</xdr:row>
      <xdr:rowOff>76200</xdr:rowOff>
    </xdr:to>
    <xdr:graphicFrame>
      <xdr:nvGraphicFramePr>
        <xdr:cNvPr id="8" name="图表 7"/>
        <xdr:cNvGraphicFramePr/>
      </xdr:nvGraphicFramePr>
      <xdr:xfrm>
        <a:off x="1168400" y="5511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M6" sqref="M6"/>
    </sheetView>
  </sheetViews>
  <sheetFormatPr defaultColWidth="9" defaultRowHeight="14"/>
  <cols>
    <col min="1" max="1" width="9.54545454545454"/>
    <col min="4" max="4" width="10.6363636363636" customWidth="1"/>
    <col min="5" max="7" width="11.8181818181818" customWidth="1"/>
    <col min="9" max="10" width="9.54545454545454"/>
  </cols>
  <sheetData>
    <row r="1" spans="1:11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I1">
        <v>12.0279</v>
      </c>
      <c r="J1" t="s">
        <v>6</v>
      </c>
      <c r="K1" t="s">
        <v>7</v>
      </c>
    </row>
    <row r="2" spans="1:11">
      <c r="A2">
        <v>0.4935</v>
      </c>
      <c r="B2">
        <v>0.4244</v>
      </c>
      <c r="C2" s="1"/>
      <c r="D2">
        <f>-A2</f>
        <v>-0.4935</v>
      </c>
      <c r="E2">
        <f>B2</f>
        <v>0.4244</v>
      </c>
      <c r="F2">
        <f>A2</f>
        <v>0.4935</v>
      </c>
      <c r="G2">
        <f>-B2</f>
        <v>-0.4244</v>
      </c>
      <c r="I2">
        <v>11.8901</v>
      </c>
      <c r="J2">
        <f>-1*I1</f>
        <v>-12.0279</v>
      </c>
      <c r="K2">
        <v>0.9736</v>
      </c>
    </row>
    <row r="3" spans="1:11">
      <c r="A3">
        <v>0.9911</v>
      </c>
      <c r="B3">
        <v>0.8029</v>
      </c>
      <c r="C3" s="1"/>
      <c r="D3">
        <f t="shared" ref="D3:D39" si="0">-A3</f>
        <v>-0.9911</v>
      </c>
      <c r="E3">
        <f t="shared" ref="E3:E39" si="1">B3</f>
        <v>0.8029</v>
      </c>
      <c r="F3">
        <f t="shared" ref="F3:F39" si="2">A3</f>
        <v>0.9911</v>
      </c>
      <c r="G3">
        <f t="shared" ref="G3:G39" si="3">-B3</f>
        <v>-0.8029</v>
      </c>
      <c r="I3">
        <v>11.6446</v>
      </c>
      <c r="J3">
        <f t="shared" ref="J3:J38" si="4">-1*I2</f>
        <v>-11.8901</v>
      </c>
      <c r="K3">
        <v>1.3043</v>
      </c>
    </row>
    <row r="4" spans="1:11">
      <c r="A4">
        <v>1.5041</v>
      </c>
      <c r="B4">
        <v>1.1922</v>
      </c>
      <c r="C4" s="1"/>
      <c r="D4">
        <f t="shared" si="0"/>
        <v>-1.5041</v>
      </c>
      <c r="E4">
        <f t="shared" si="1"/>
        <v>1.1922</v>
      </c>
      <c r="F4">
        <f t="shared" si="2"/>
        <v>1.5041</v>
      </c>
      <c r="G4">
        <f t="shared" si="3"/>
        <v>-1.1922</v>
      </c>
      <c r="I4">
        <v>11.5054</v>
      </c>
      <c r="J4">
        <f t="shared" si="4"/>
        <v>-11.6446</v>
      </c>
      <c r="K4">
        <v>1.8924</v>
      </c>
    </row>
    <row r="5" spans="1:11">
      <c r="A5" s="2">
        <v>2.015</v>
      </c>
      <c r="B5">
        <v>1.4803</v>
      </c>
      <c r="C5" s="1"/>
      <c r="D5">
        <f t="shared" si="0"/>
        <v>-2.015</v>
      </c>
      <c r="E5">
        <f t="shared" si="1"/>
        <v>1.4803</v>
      </c>
      <c r="F5">
        <f t="shared" si="2"/>
        <v>2.015</v>
      </c>
      <c r="G5">
        <f t="shared" si="3"/>
        <v>-1.4803</v>
      </c>
      <c r="I5">
        <v>11.0351</v>
      </c>
      <c r="J5">
        <f t="shared" si="4"/>
        <v>-11.5054</v>
      </c>
      <c r="K5">
        <v>2.2293</v>
      </c>
    </row>
    <row r="6" spans="1:11">
      <c r="A6">
        <v>2.5019</v>
      </c>
      <c r="B6" s="2">
        <v>1.68</v>
      </c>
      <c r="C6" s="1">
        <v>1</v>
      </c>
      <c r="D6">
        <f t="shared" si="0"/>
        <v>-2.5019</v>
      </c>
      <c r="E6">
        <f t="shared" si="1"/>
        <v>1.68</v>
      </c>
      <c r="F6">
        <f t="shared" si="2"/>
        <v>2.5019</v>
      </c>
      <c r="G6">
        <f t="shared" si="3"/>
        <v>-1.68</v>
      </c>
      <c r="I6" s="2">
        <v>10.771</v>
      </c>
      <c r="J6">
        <f t="shared" si="4"/>
        <v>-11.0351</v>
      </c>
      <c r="K6">
        <v>3.3578</v>
      </c>
    </row>
    <row r="7" spans="1:11">
      <c r="A7">
        <v>3.0041</v>
      </c>
      <c r="B7">
        <v>1.8863</v>
      </c>
      <c r="C7" s="3"/>
      <c r="D7">
        <f t="shared" si="0"/>
        <v>-3.0041</v>
      </c>
      <c r="E7">
        <f t="shared" si="1"/>
        <v>1.8863</v>
      </c>
      <c r="F7">
        <f t="shared" si="2"/>
        <v>3.0041</v>
      </c>
      <c r="G7">
        <f t="shared" si="3"/>
        <v>-1.8863</v>
      </c>
      <c r="I7" s="2">
        <v>10.686</v>
      </c>
      <c r="J7">
        <f t="shared" si="4"/>
        <v>-10.771</v>
      </c>
      <c r="K7">
        <v>4.0091</v>
      </c>
    </row>
    <row r="8" spans="1:11">
      <c r="A8">
        <v>3.5028</v>
      </c>
      <c r="B8">
        <v>2.0914</v>
      </c>
      <c r="C8" s="3"/>
      <c r="D8">
        <f t="shared" si="0"/>
        <v>-3.5028</v>
      </c>
      <c r="E8">
        <f t="shared" si="1"/>
        <v>2.0914</v>
      </c>
      <c r="F8">
        <f t="shared" si="2"/>
        <v>3.5028</v>
      </c>
      <c r="G8">
        <f t="shared" si="3"/>
        <v>-2.0914</v>
      </c>
      <c r="I8">
        <v>10.6032</v>
      </c>
      <c r="J8">
        <f t="shared" si="4"/>
        <v>-10.686</v>
      </c>
      <c r="K8">
        <v>4.2135</v>
      </c>
    </row>
    <row r="9" spans="1:11">
      <c r="A9">
        <v>4.0256</v>
      </c>
      <c r="B9">
        <v>2.3068</v>
      </c>
      <c r="C9" s="3"/>
      <c r="D9">
        <f t="shared" si="0"/>
        <v>-4.0256</v>
      </c>
      <c r="E9">
        <f t="shared" si="1"/>
        <v>2.3068</v>
      </c>
      <c r="F9">
        <f t="shared" si="2"/>
        <v>4.0256</v>
      </c>
      <c r="G9">
        <f t="shared" si="3"/>
        <v>-2.3068</v>
      </c>
      <c r="I9">
        <v>10.5038</v>
      </c>
      <c r="J9">
        <f t="shared" si="4"/>
        <v>-10.6032</v>
      </c>
      <c r="K9">
        <v>4.4113</v>
      </c>
    </row>
    <row r="10" spans="1:11">
      <c r="A10">
        <v>4.5172</v>
      </c>
      <c r="B10">
        <v>2.5091</v>
      </c>
      <c r="C10" s="3"/>
      <c r="D10">
        <f t="shared" si="0"/>
        <v>-4.5172</v>
      </c>
      <c r="E10">
        <f t="shared" si="1"/>
        <v>2.5091</v>
      </c>
      <c r="F10">
        <f t="shared" si="2"/>
        <v>4.5172</v>
      </c>
      <c r="G10">
        <f t="shared" si="3"/>
        <v>-2.5091</v>
      </c>
      <c r="I10">
        <v>10.4364</v>
      </c>
      <c r="J10">
        <f t="shared" si="4"/>
        <v>-10.5038</v>
      </c>
      <c r="K10" s="2">
        <v>4.664</v>
      </c>
    </row>
    <row r="11" spans="1:11">
      <c r="A11">
        <v>5.0432</v>
      </c>
      <c r="B11">
        <v>2.7253</v>
      </c>
      <c r="C11" s="3"/>
      <c r="D11">
        <f t="shared" si="0"/>
        <v>-5.0432</v>
      </c>
      <c r="E11">
        <f t="shared" si="1"/>
        <v>2.7253</v>
      </c>
      <c r="F11">
        <f t="shared" si="2"/>
        <v>5.0432</v>
      </c>
      <c r="G11">
        <f t="shared" si="3"/>
        <v>-2.7253</v>
      </c>
      <c r="I11">
        <v>10.4146</v>
      </c>
      <c r="J11">
        <f t="shared" si="4"/>
        <v>-10.4364</v>
      </c>
      <c r="K11">
        <v>4.8307</v>
      </c>
    </row>
    <row r="12" spans="1:11">
      <c r="A12" s="2">
        <v>5.509</v>
      </c>
      <c r="B12">
        <v>2.9168</v>
      </c>
      <c r="C12" s="3"/>
      <c r="D12">
        <f t="shared" si="0"/>
        <v>-5.509</v>
      </c>
      <c r="E12">
        <f t="shared" si="1"/>
        <v>2.9168</v>
      </c>
      <c r="F12">
        <f t="shared" si="2"/>
        <v>5.509</v>
      </c>
      <c r="G12">
        <f t="shared" si="3"/>
        <v>-2.9168</v>
      </c>
      <c r="I12">
        <v>10.4123</v>
      </c>
      <c r="J12">
        <f t="shared" si="4"/>
        <v>-10.4146</v>
      </c>
      <c r="K12">
        <v>4.8888</v>
      </c>
    </row>
    <row r="13" spans="1:11">
      <c r="A13">
        <v>6.0044</v>
      </c>
      <c r="B13" s="2">
        <v>3.12</v>
      </c>
      <c r="C13" s="3"/>
      <c r="D13">
        <f t="shared" si="0"/>
        <v>-6.0044</v>
      </c>
      <c r="E13">
        <f t="shared" si="1"/>
        <v>3.12</v>
      </c>
      <c r="F13">
        <f t="shared" si="2"/>
        <v>6.0044</v>
      </c>
      <c r="G13">
        <f t="shared" si="3"/>
        <v>-3.12</v>
      </c>
      <c r="I13">
        <v>10.4107</v>
      </c>
      <c r="J13">
        <f t="shared" si="4"/>
        <v>-10.4123</v>
      </c>
      <c r="K13">
        <v>4.8946</v>
      </c>
    </row>
    <row r="14" spans="1:11">
      <c r="A14">
        <v>6.5126</v>
      </c>
      <c r="B14">
        <v>3.3288</v>
      </c>
      <c r="C14" s="3"/>
      <c r="D14">
        <f t="shared" si="0"/>
        <v>-6.5126</v>
      </c>
      <c r="E14">
        <f t="shared" si="1"/>
        <v>3.3288</v>
      </c>
      <c r="F14">
        <f t="shared" si="2"/>
        <v>6.5126</v>
      </c>
      <c r="G14">
        <f t="shared" si="3"/>
        <v>-3.3288</v>
      </c>
      <c r="I14">
        <v>10.4065</v>
      </c>
      <c r="J14">
        <f t="shared" si="4"/>
        <v>-10.4107</v>
      </c>
      <c r="K14">
        <v>4.8984</v>
      </c>
    </row>
    <row r="15" spans="1:11">
      <c r="A15">
        <v>7.0086</v>
      </c>
      <c r="B15">
        <v>3.5316</v>
      </c>
      <c r="C15" s="3"/>
      <c r="D15">
        <f t="shared" si="0"/>
        <v>-7.0086</v>
      </c>
      <c r="E15">
        <f t="shared" si="1"/>
        <v>3.5316</v>
      </c>
      <c r="F15">
        <f t="shared" si="2"/>
        <v>7.0086</v>
      </c>
      <c r="G15">
        <f t="shared" si="3"/>
        <v>-3.5316</v>
      </c>
      <c r="I15">
        <v>10.2045</v>
      </c>
      <c r="J15">
        <f t="shared" si="4"/>
        <v>-10.4065</v>
      </c>
      <c r="K15" s="2">
        <v>4.908</v>
      </c>
    </row>
    <row r="16" spans="1:11">
      <c r="A16">
        <v>7.5241</v>
      </c>
      <c r="B16">
        <v>3.7433</v>
      </c>
      <c r="C16" s="3"/>
      <c r="D16">
        <f t="shared" si="0"/>
        <v>-7.5241</v>
      </c>
      <c r="E16">
        <f t="shared" si="1"/>
        <v>3.7433</v>
      </c>
      <c r="F16">
        <f t="shared" si="2"/>
        <v>7.5241</v>
      </c>
      <c r="G16">
        <f t="shared" si="3"/>
        <v>-3.7433</v>
      </c>
      <c r="I16" s="2">
        <v>10.063</v>
      </c>
      <c r="J16">
        <f t="shared" si="4"/>
        <v>-10.2045</v>
      </c>
      <c r="K16" s="2">
        <v>4.842</v>
      </c>
    </row>
    <row r="17" spans="1:11">
      <c r="A17">
        <v>8.0348</v>
      </c>
      <c r="B17">
        <v>3.9254</v>
      </c>
      <c r="C17" s="3"/>
      <c r="D17">
        <f t="shared" si="0"/>
        <v>-8.0348</v>
      </c>
      <c r="E17">
        <f t="shared" si="1"/>
        <v>3.9254</v>
      </c>
      <c r="F17">
        <f t="shared" si="2"/>
        <v>8.0348</v>
      </c>
      <c r="G17">
        <f t="shared" si="3"/>
        <v>-3.9254</v>
      </c>
      <c r="I17">
        <v>10.0616</v>
      </c>
      <c r="J17">
        <f t="shared" si="4"/>
        <v>-10.063</v>
      </c>
      <c r="K17">
        <v>4.7839</v>
      </c>
    </row>
    <row r="18" spans="1:11">
      <c r="A18">
        <v>8.0401</v>
      </c>
      <c r="B18" s="2">
        <v>3.958</v>
      </c>
      <c r="C18" s="3"/>
      <c r="D18">
        <f t="shared" si="0"/>
        <v>-8.0401</v>
      </c>
      <c r="E18">
        <f t="shared" si="1"/>
        <v>3.958</v>
      </c>
      <c r="F18">
        <f t="shared" si="2"/>
        <v>8.0401</v>
      </c>
      <c r="G18">
        <f t="shared" si="3"/>
        <v>-3.958</v>
      </c>
      <c r="I18">
        <v>9.9909</v>
      </c>
      <c r="J18">
        <f t="shared" si="4"/>
        <v>-10.0616</v>
      </c>
      <c r="K18">
        <v>4.7832</v>
      </c>
    </row>
    <row r="19" spans="1:11">
      <c r="A19">
        <v>8.5193</v>
      </c>
      <c r="B19">
        <v>4.1551</v>
      </c>
      <c r="C19" s="3"/>
      <c r="D19">
        <f t="shared" si="0"/>
        <v>-8.5193</v>
      </c>
      <c r="E19">
        <f t="shared" si="1"/>
        <v>4.1551</v>
      </c>
      <c r="F19">
        <f t="shared" si="2"/>
        <v>8.5193</v>
      </c>
      <c r="G19">
        <f t="shared" si="3"/>
        <v>-4.1551</v>
      </c>
      <c r="I19" s="2">
        <v>9.511</v>
      </c>
      <c r="J19">
        <f t="shared" si="4"/>
        <v>-9.9909</v>
      </c>
      <c r="K19">
        <v>4.7542</v>
      </c>
    </row>
    <row r="20" spans="1:11">
      <c r="A20">
        <v>9.0131</v>
      </c>
      <c r="B20">
        <v>4.3571</v>
      </c>
      <c r="C20" s="3"/>
      <c r="D20">
        <f t="shared" si="0"/>
        <v>-9.0131</v>
      </c>
      <c r="E20">
        <f t="shared" si="1"/>
        <v>4.3571</v>
      </c>
      <c r="F20">
        <f t="shared" si="2"/>
        <v>9.0131</v>
      </c>
      <c r="G20">
        <f t="shared" si="3"/>
        <v>-4.3571</v>
      </c>
      <c r="I20">
        <v>9.0131</v>
      </c>
      <c r="J20">
        <f t="shared" si="4"/>
        <v>-9.511</v>
      </c>
      <c r="K20">
        <v>4.5601</v>
      </c>
    </row>
    <row r="21" spans="1:11">
      <c r="A21" s="2">
        <v>9.511</v>
      </c>
      <c r="B21">
        <v>4.5601</v>
      </c>
      <c r="C21" s="3"/>
      <c r="D21">
        <f t="shared" si="0"/>
        <v>-9.511</v>
      </c>
      <c r="E21">
        <f t="shared" si="1"/>
        <v>4.5601</v>
      </c>
      <c r="F21">
        <f t="shared" si="2"/>
        <v>9.511</v>
      </c>
      <c r="G21">
        <f t="shared" si="3"/>
        <v>-4.5601</v>
      </c>
      <c r="I21">
        <v>8.5193</v>
      </c>
      <c r="J21">
        <f t="shared" si="4"/>
        <v>-9.0131</v>
      </c>
      <c r="K21">
        <v>4.3571</v>
      </c>
    </row>
    <row r="22" spans="1:11">
      <c r="A22">
        <v>9.9909</v>
      </c>
      <c r="B22">
        <v>4.7542</v>
      </c>
      <c r="C22" s="3"/>
      <c r="D22">
        <f t="shared" si="0"/>
        <v>-9.9909</v>
      </c>
      <c r="E22">
        <f t="shared" si="1"/>
        <v>4.7542</v>
      </c>
      <c r="F22">
        <f t="shared" si="2"/>
        <v>9.9909</v>
      </c>
      <c r="G22">
        <f t="shared" si="3"/>
        <v>-4.7542</v>
      </c>
      <c r="I22">
        <v>8.0401</v>
      </c>
      <c r="J22">
        <f t="shared" si="4"/>
        <v>-8.5193</v>
      </c>
      <c r="K22">
        <v>4.1551</v>
      </c>
    </row>
    <row r="23" spans="1:11">
      <c r="A23">
        <v>10.0616</v>
      </c>
      <c r="B23">
        <v>4.7832</v>
      </c>
      <c r="C23" s="3"/>
      <c r="D23">
        <f t="shared" si="0"/>
        <v>-10.0616</v>
      </c>
      <c r="E23">
        <f t="shared" si="1"/>
        <v>4.7832</v>
      </c>
      <c r="F23">
        <f t="shared" si="2"/>
        <v>10.0616</v>
      </c>
      <c r="G23">
        <f t="shared" si="3"/>
        <v>-4.7832</v>
      </c>
      <c r="I23">
        <v>8.0348</v>
      </c>
      <c r="J23">
        <f t="shared" si="4"/>
        <v>-8.0401</v>
      </c>
      <c r="K23" s="2">
        <v>3.958</v>
      </c>
    </row>
    <row r="24" spans="1:11">
      <c r="A24" s="2">
        <v>10.063</v>
      </c>
      <c r="B24">
        <v>4.7839</v>
      </c>
      <c r="C24" s="3"/>
      <c r="D24">
        <f t="shared" si="0"/>
        <v>-10.063</v>
      </c>
      <c r="E24">
        <f t="shared" si="1"/>
        <v>4.7839</v>
      </c>
      <c r="F24">
        <f t="shared" si="2"/>
        <v>10.063</v>
      </c>
      <c r="G24">
        <f t="shared" si="3"/>
        <v>-4.7839</v>
      </c>
      <c r="I24">
        <v>7.5241</v>
      </c>
      <c r="J24">
        <f t="shared" si="4"/>
        <v>-8.0348</v>
      </c>
      <c r="K24">
        <v>3.9254</v>
      </c>
    </row>
    <row r="25" spans="1:11">
      <c r="A25">
        <v>10.2045</v>
      </c>
      <c r="B25" s="2">
        <v>4.842</v>
      </c>
      <c r="C25" s="3"/>
      <c r="D25">
        <f t="shared" si="0"/>
        <v>-10.2045</v>
      </c>
      <c r="E25">
        <f t="shared" si="1"/>
        <v>4.842</v>
      </c>
      <c r="F25">
        <f t="shared" si="2"/>
        <v>10.2045</v>
      </c>
      <c r="G25">
        <f t="shared" si="3"/>
        <v>-4.842</v>
      </c>
      <c r="I25">
        <v>7.0086</v>
      </c>
      <c r="J25">
        <f t="shared" si="4"/>
        <v>-7.5241</v>
      </c>
      <c r="K25">
        <v>3.7433</v>
      </c>
    </row>
    <row r="26" spans="1:11">
      <c r="A26">
        <v>10.4065</v>
      </c>
      <c r="B26" s="2">
        <v>4.908</v>
      </c>
      <c r="C26" s="3"/>
      <c r="D26">
        <f t="shared" si="0"/>
        <v>-10.4065</v>
      </c>
      <c r="E26">
        <f t="shared" si="1"/>
        <v>4.908</v>
      </c>
      <c r="F26">
        <f t="shared" si="2"/>
        <v>10.4065</v>
      </c>
      <c r="G26">
        <f t="shared" si="3"/>
        <v>-4.908</v>
      </c>
      <c r="I26">
        <v>6.5126</v>
      </c>
      <c r="J26">
        <f t="shared" si="4"/>
        <v>-7.0086</v>
      </c>
      <c r="K26">
        <v>3.5316</v>
      </c>
    </row>
    <row r="27" spans="1:11">
      <c r="A27">
        <v>10.4107</v>
      </c>
      <c r="B27">
        <v>4.8984</v>
      </c>
      <c r="C27" s="3">
        <v>2</v>
      </c>
      <c r="D27">
        <f t="shared" si="0"/>
        <v>-10.4107</v>
      </c>
      <c r="E27">
        <f t="shared" si="1"/>
        <v>4.8984</v>
      </c>
      <c r="F27">
        <f t="shared" si="2"/>
        <v>10.4107</v>
      </c>
      <c r="G27">
        <f t="shared" si="3"/>
        <v>-4.8984</v>
      </c>
      <c r="I27">
        <v>6.0044</v>
      </c>
      <c r="J27">
        <f t="shared" si="4"/>
        <v>-6.5126</v>
      </c>
      <c r="K27">
        <v>3.3288</v>
      </c>
    </row>
    <row r="28" spans="1:11">
      <c r="A28">
        <v>10.4123</v>
      </c>
      <c r="B28">
        <v>4.8946</v>
      </c>
      <c r="C28" s="4"/>
      <c r="D28">
        <f t="shared" si="0"/>
        <v>-10.4123</v>
      </c>
      <c r="E28">
        <f t="shared" si="1"/>
        <v>4.8946</v>
      </c>
      <c r="F28">
        <f t="shared" si="2"/>
        <v>10.4123</v>
      </c>
      <c r="G28">
        <f t="shared" si="3"/>
        <v>-4.8946</v>
      </c>
      <c r="I28" s="2">
        <v>5.509</v>
      </c>
      <c r="J28">
        <f t="shared" si="4"/>
        <v>-6.0044</v>
      </c>
      <c r="K28" s="2">
        <v>3.12</v>
      </c>
    </row>
    <row r="29" spans="1:11">
      <c r="A29">
        <v>10.4146</v>
      </c>
      <c r="B29">
        <v>4.8888</v>
      </c>
      <c r="C29" s="4"/>
      <c r="D29">
        <f t="shared" si="0"/>
        <v>-10.4146</v>
      </c>
      <c r="E29">
        <f t="shared" si="1"/>
        <v>4.8888</v>
      </c>
      <c r="F29">
        <f t="shared" si="2"/>
        <v>10.4146</v>
      </c>
      <c r="G29">
        <f t="shared" si="3"/>
        <v>-4.8888</v>
      </c>
      <c r="I29">
        <v>5.0432</v>
      </c>
      <c r="J29">
        <f t="shared" si="4"/>
        <v>-5.509</v>
      </c>
      <c r="K29">
        <v>2.9168</v>
      </c>
    </row>
    <row r="30" spans="1:11">
      <c r="A30">
        <v>10.4364</v>
      </c>
      <c r="B30">
        <v>4.8307</v>
      </c>
      <c r="C30" s="4"/>
      <c r="D30">
        <f t="shared" si="0"/>
        <v>-10.4364</v>
      </c>
      <c r="E30">
        <f t="shared" si="1"/>
        <v>4.8307</v>
      </c>
      <c r="F30">
        <f t="shared" si="2"/>
        <v>10.4364</v>
      </c>
      <c r="G30">
        <f t="shared" si="3"/>
        <v>-4.8307</v>
      </c>
      <c r="I30">
        <v>4.5172</v>
      </c>
      <c r="J30">
        <f t="shared" si="4"/>
        <v>-5.0432</v>
      </c>
      <c r="K30">
        <v>2.7253</v>
      </c>
    </row>
    <row r="31" spans="1:11">
      <c r="A31">
        <v>10.5038</v>
      </c>
      <c r="B31" s="2">
        <v>4.664</v>
      </c>
      <c r="C31" s="4"/>
      <c r="D31">
        <f t="shared" si="0"/>
        <v>-10.5038</v>
      </c>
      <c r="E31">
        <f t="shared" si="1"/>
        <v>4.664</v>
      </c>
      <c r="F31">
        <f t="shared" si="2"/>
        <v>10.5038</v>
      </c>
      <c r="G31">
        <f t="shared" si="3"/>
        <v>-4.664</v>
      </c>
      <c r="I31">
        <v>4.0256</v>
      </c>
      <c r="J31">
        <f t="shared" si="4"/>
        <v>-4.5172</v>
      </c>
      <c r="K31">
        <v>2.5091</v>
      </c>
    </row>
    <row r="32" spans="1:11">
      <c r="A32">
        <v>10.6032</v>
      </c>
      <c r="B32">
        <v>4.4113</v>
      </c>
      <c r="C32" s="4"/>
      <c r="D32">
        <f t="shared" si="0"/>
        <v>-10.6032</v>
      </c>
      <c r="E32">
        <f t="shared" si="1"/>
        <v>4.4113</v>
      </c>
      <c r="F32">
        <f t="shared" si="2"/>
        <v>10.6032</v>
      </c>
      <c r="G32">
        <f t="shared" si="3"/>
        <v>-4.4113</v>
      </c>
      <c r="I32">
        <v>3.5028</v>
      </c>
      <c r="J32">
        <f t="shared" si="4"/>
        <v>-4.0256</v>
      </c>
      <c r="K32">
        <v>2.3068</v>
      </c>
    </row>
    <row r="33" spans="1:11">
      <c r="A33" s="2">
        <v>10.686</v>
      </c>
      <c r="B33">
        <v>4.2135</v>
      </c>
      <c r="C33" s="4"/>
      <c r="D33">
        <f t="shared" si="0"/>
        <v>-10.686</v>
      </c>
      <c r="E33">
        <f t="shared" si="1"/>
        <v>4.2135</v>
      </c>
      <c r="F33">
        <f t="shared" si="2"/>
        <v>10.686</v>
      </c>
      <c r="G33">
        <f t="shared" si="3"/>
        <v>-4.2135</v>
      </c>
      <c r="I33">
        <v>3.0041</v>
      </c>
      <c r="J33">
        <f t="shared" si="4"/>
        <v>-3.5028</v>
      </c>
      <c r="K33">
        <v>2.0914</v>
      </c>
    </row>
    <row r="34" spans="1:11">
      <c r="A34" s="2">
        <v>10.771</v>
      </c>
      <c r="B34">
        <v>4.0091</v>
      </c>
      <c r="C34" s="4"/>
      <c r="D34">
        <f t="shared" si="0"/>
        <v>-10.771</v>
      </c>
      <c r="E34">
        <f t="shared" si="1"/>
        <v>4.0091</v>
      </c>
      <c r="F34">
        <f t="shared" si="2"/>
        <v>10.771</v>
      </c>
      <c r="G34">
        <f t="shared" si="3"/>
        <v>-4.0091</v>
      </c>
      <c r="I34">
        <v>2.5019</v>
      </c>
      <c r="J34">
        <f t="shared" si="4"/>
        <v>-3.0041</v>
      </c>
      <c r="K34">
        <v>1.8863</v>
      </c>
    </row>
    <row r="35" spans="1:11">
      <c r="A35">
        <v>11.0351</v>
      </c>
      <c r="B35">
        <v>3.3578</v>
      </c>
      <c r="C35" s="4"/>
      <c r="D35">
        <f t="shared" si="0"/>
        <v>-11.0351</v>
      </c>
      <c r="E35">
        <f t="shared" si="1"/>
        <v>3.3578</v>
      </c>
      <c r="F35">
        <f t="shared" si="2"/>
        <v>11.0351</v>
      </c>
      <c r="G35">
        <f t="shared" si="3"/>
        <v>-3.3578</v>
      </c>
      <c r="I35" s="2">
        <v>2.015</v>
      </c>
      <c r="J35">
        <f t="shared" si="4"/>
        <v>-2.5019</v>
      </c>
      <c r="K35" s="2">
        <v>1.68</v>
      </c>
    </row>
    <row r="36" spans="1:11">
      <c r="A36">
        <v>11.5054</v>
      </c>
      <c r="B36">
        <v>2.2293</v>
      </c>
      <c r="C36" s="4"/>
      <c r="D36">
        <f t="shared" si="0"/>
        <v>-11.5054</v>
      </c>
      <c r="E36">
        <f t="shared" si="1"/>
        <v>2.2293</v>
      </c>
      <c r="F36">
        <f t="shared" si="2"/>
        <v>11.5054</v>
      </c>
      <c r="G36">
        <f t="shared" si="3"/>
        <v>-2.2293</v>
      </c>
      <c r="I36">
        <v>1.5041</v>
      </c>
      <c r="J36">
        <f t="shared" si="4"/>
        <v>-2.015</v>
      </c>
      <c r="K36">
        <v>1.4803</v>
      </c>
    </row>
    <row r="37" spans="1:11">
      <c r="A37">
        <v>11.6446</v>
      </c>
      <c r="B37">
        <v>1.8924</v>
      </c>
      <c r="C37" s="4"/>
      <c r="D37">
        <f t="shared" si="0"/>
        <v>-11.6446</v>
      </c>
      <c r="E37">
        <f t="shared" si="1"/>
        <v>1.8924</v>
      </c>
      <c r="F37">
        <f t="shared" si="2"/>
        <v>11.6446</v>
      </c>
      <c r="G37">
        <f t="shared" si="3"/>
        <v>-1.8924</v>
      </c>
      <c r="I37">
        <v>0.9911</v>
      </c>
      <c r="J37">
        <f t="shared" si="4"/>
        <v>-1.5041</v>
      </c>
      <c r="K37">
        <v>1.1922</v>
      </c>
    </row>
    <row r="38" spans="1:11">
      <c r="A38">
        <v>11.8901</v>
      </c>
      <c r="B38">
        <v>1.3043</v>
      </c>
      <c r="C38" s="4"/>
      <c r="D38">
        <f t="shared" si="0"/>
        <v>-11.8901</v>
      </c>
      <c r="E38">
        <f t="shared" si="1"/>
        <v>1.3043</v>
      </c>
      <c r="F38">
        <f t="shared" si="2"/>
        <v>11.8901</v>
      </c>
      <c r="G38">
        <f t="shared" si="3"/>
        <v>-1.3043</v>
      </c>
      <c r="I38">
        <v>0.4935</v>
      </c>
      <c r="J38">
        <f t="shared" si="4"/>
        <v>-0.9911</v>
      </c>
      <c r="K38">
        <v>0.8029</v>
      </c>
    </row>
    <row r="39" spans="1:11">
      <c r="A39">
        <v>12.0279</v>
      </c>
      <c r="B39">
        <v>0.9736</v>
      </c>
      <c r="C39" s="4"/>
      <c r="D39">
        <f t="shared" si="0"/>
        <v>-12.0279</v>
      </c>
      <c r="E39">
        <f t="shared" si="1"/>
        <v>0.9736</v>
      </c>
      <c r="F39">
        <f t="shared" si="2"/>
        <v>12.0279</v>
      </c>
      <c r="G39">
        <f t="shared" si="3"/>
        <v>-0.9736</v>
      </c>
      <c r="J39">
        <f>-1*0.4935</f>
        <v>-0.4935</v>
      </c>
      <c r="K39">
        <v>0.4244</v>
      </c>
    </row>
    <row r="40" spans="10:11">
      <c r="J40">
        <v>0.4935</v>
      </c>
      <c r="K40">
        <f>-1*B2</f>
        <v>-0.4244</v>
      </c>
    </row>
    <row r="41" spans="10:11">
      <c r="J41">
        <v>0.9911</v>
      </c>
      <c r="K41">
        <f t="shared" ref="K41:K77" si="5">-1*B3</f>
        <v>-0.8029</v>
      </c>
    </row>
    <row r="42" spans="10:11">
      <c r="J42">
        <v>1.5041</v>
      </c>
      <c r="K42">
        <f t="shared" si="5"/>
        <v>-1.1922</v>
      </c>
    </row>
    <row r="43" spans="10:11">
      <c r="J43" s="2">
        <v>2.015</v>
      </c>
      <c r="K43">
        <f t="shared" si="5"/>
        <v>-1.4803</v>
      </c>
    </row>
    <row r="44" spans="10:11">
      <c r="J44">
        <v>2.5019</v>
      </c>
      <c r="K44">
        <f t="shared" si="5"/>
        <v>-1.68</v>
      </c>
    </row>
    <row r="45" spans="10:11">
      <c r="J45">
        <v>3.0041</v>
      </c>
      <c r="K45">
        <f t="shared" si="5"/>
        <v>-1.8863</v>
      </c>
    </row>
    <row r="46" spans="10:11">
      <c r="J46">
        <v>3.5028</v>
      </c>
      <c r="K46">
        <f t="shared" si="5"/>
        <v>-2.0914</v>
      </c>
    </row>
    <row r="47" spans="10:11">
      <c r="J47">
        <v>4.0256</v>
      </c>
      <c r="K47">
        <f t="shared" si="5"/>
        <v>-2.3068</v>
      </c>
    </row>
    <row r="48" spans="10:11">
      <c r="J48">
        <v>4.5172</v>
      </c>
      <c r="K48">
        <f t="shared" si="5"/>
        <v>-2.5091</v>
      </c>
    </row>
    <row r="49" spans="10:11">
      <c r="J49">
        <v>5.0432</v>
      </c>
      <c r="K49">
        <f t="shared" si="5"/>
        <v>-2.7253</v>
      </c>
    </row>
    <row r="50" spans="10:11">
      <c r="J50" s="2">
        <v>5.509</v>
      </c>
      <c r="K50">
        <f t="shared" si="5"/>
        <v>-2.9168</v>
      </c>
    </row>
    <row r="51" spans="10:11">
      <c r="J51">
        <v>6.0044</v>
      </c>
      <c r="K51">
        <f t="shared" si="5"/>
        <v>-3.12</v>
      </c>
    </row>
    <row r="52" spans="10:11">
      <c r="J52">
        <v>6.5126</v>
      </c>
      <c r="K52">
        <f t="shared" si="5"/>
        <v>-3.3288</v>
      </c>
    </row>
    <row r="53" spans="10:11">
      <c r="J53">
        <v>7.0086</v>
      </c>
      <c r="K53">
        <f t="shared" si="5"/>
        <v>-3.5316</v>
      </c>
    </row>
    <row r="54" spans="10:11">
      <c r="J54">
        <v>7.5241</v>
      </c>
      <c r="K54">
        <f t="shared" si="5"/>
        <v>-3.7433</v>
      </c>
    </row>
    <row r="55" spans="10:11">
      <c r="J55">
        <v>8.0348</v>
      </c>
      <c r="K55">
        <f t="shared" si="5"/>
        <v>-3.9254</v>
      </c>
    </row>
    <row r="56" spans="10:11">
      <c r="J56">
        <v>8.0401</v>
      </c>
      <c r="K56">
        <f t="shared" si="5"/>
        <v>-3.958</v>
      </c>
    </row>
    <row r="57" spans="10:11">
      <c r="J57">
        <v>8.5193</v>
      </c>
      <c r="K57">
        <f t="shared" si="5"/>
        <v>-4.1551</v>
      </c>
    </row>
    <row r="58" spans="10:11">
      <c r="J58">
        <v>9.0131</v>
      </c>
      <c r="K58">
        <f t="shared" si="5"/>
        <v>-4.3571</v>
      </c>
    </row>
    <row r="59" spans="10:11">
      <c r="J59" s="2">
        <v>9.511</v>
      </c>
      <c r="K59">
        <f t="shared" si="5"/>
        <v>-4.5601</v>
      </c>
    </row>
    <row r="60" spans="10:11">
      <c r="J60">
        <v>9.9909</v>
      </c>
      <c r="K60">
        <f t="shared" si="5"/>
        <v>-4.7542</v>
      </c>
    </row>
    <row r="61" spans="10:11">
      <c r="J61">
        <v>10.0616</v>
      </c>
      <c r="K61">
        <f t="shared" si="5"/>
        <v>-4.7832</v>
      </c>
    </row>
    <row r="62" spans="10:11">
      <c r="J62" s="2">
        <v>10.063</v>
      </c>
      <c r="K62">
        <f t="shared" si="5"/>
        <v>-4.7839</v>
      </c>
    </row>
    <row r="63" spans="10:11">
      <c r="J63">
        <v>10.2045</v>
      </c>
      <c r="K63">
        <f t="shared" si="5"/>
        <v>-4.842</v>
      </c>
    </row>
    <row r="64" spans="10:11">
      <c r="J64">
        <v>10.4065</v>
      </c>
      <c r="K64">
        <f t="shared" si="5"/>
        <v>-4.908</v>
      </c>
    </row>
    <row r="65" spans="10:11">
      <c r="J65">
        <v>10.4107</v>
      </c>
      <c r="K65">
        <f t="shared" si="5"/>
        <v>-4.8984</v>
      </c>
    </row>
    <row r="66" spans="10:11">
      <c r="J66">
        <v>10.4123</v>
      </c>
      <c r="K66">
        <f t="shared" si="5"/>
        <v>-4.8946</v>
      </c>
    </row>
    <row r="67" spans="10:11">
      <c r="J67">
        <v>10.4146</v>
      </c>
      <c r="K67">
        <f t="shared" si="5"/>
        <v>-4.8888</v>
      </c>
    </row>
    <row r="68" spans="10:11">
      <c r="J68">
        <v>10.4364</v>
      </c>
      <c r="K68">
        <f t="shared" si="5"/>
        <v>-4.8307</v>
      </c>
    </row>
    <row r="69" spans="10:11">
      <c r="J69">
        <v>10.5038</v>
      </c>
      <c r="K69">
        <f t="shared" si="5"/>
        <v>-4.664</v>
      </c>
    </row>
    <row r="70" spans="10:11">
      <c r="J70">
        <v>10.6032</v>
      </c>
      <c r="K70">
        <f t="shared" si="5"/>
        <v>-4.4113</v>
      </c>
    </row>
    <row r="71" spans="10:11">
      <c r="J71" s="2">
        <v>10.686</v>
      </c>
      <c r="K71">
        <f t="shared" si="5"/>
        <v>-4.2135</v>
      </c>
    </row>
    <row r="72" spans="10:11">
      <c r="J72" s="2">
        <v>10.771</v>
      </c>
      <c r="K72">
        <f t="shared" si="5"/>
        <v>-4.0091</v>
      </c>
    </row>
    <row r="73" spans="10:11">
      <c r="J73">
        <v>11.0351</v>
      </c>
      <c r="K73">
        <f t="shared" si="5"/>
        <v>-3.3578</v>
      </c>
    </row>
    <row r="74" spans="10:11">
      <c r="J74">
        <v>11.5054</v>
      </c>
      <c r="K74">
        <f t="shared" si="5"/>
        <v>-2.2293</v>
      </c>
    </row>
    <row r="75" spans="10:11">
      <c r="J75">
        <v>11.6446</v>
      </c>
      <c r="K75">
        <f t="shared" si="5"/>
        <v>-1.8924</v>
      </c>
    </row>
    <row r="76" spans="10:11">
      <c r="J76">
        <v>11.8901</v>
      </c>
      <c r="K76">
        <f t="shared" si="5"/>
        <v>-1.3043</v>
      </c>
    </row>
    <row r="77" spans="10:11">
      <c r="J77">
        <v>12.0279</v>
      </c>
      <c r="K77">
        <f t="shared" si="5"/>
        <v>-0.9736</v>
      </c>
    </row>
  </sheetData>
  <sortState ref="I1:I39">
    <sortCondition ref="I1" descending="1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fqy</dc:creator>
  <cp:lastModifiedBy>WPS_1643019146</cp:lastModifiedBy>
  <dcterms:created xsi:type="dcterms:W3CDTF">2023-05-12T11:15:00Z</dcterms:created>
  <dcterms:modified xsi:type="dcterms:W3CDTF">2024-10-10T14:12:30Z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12AAFD8BE2B24977B00F6003722D872A_12</vt:lpwstr>
  </property>
</Properties>
</file>