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ormalphty/Documents/本科资料/2026 spring/class/modern experiment II/experiment report/microwave and ferromagnetic resonance/"/>
    </mc:Choice>
  </mc:AlternateContent>
  <xr:revisionPtr revIDLastSave="0" documentId="13_ncr:1_{BCDB48D0-057A-AE44-B6D0-8D1570A67BCE}" xr6:coauthVersionLast="47" xr6:coauthVersionMax="47" xr10:uidLastSave="{00000000-0000-0000-0000-000000000000}"/>
  <bookViews>
    <workbookView xWindow="1820" yWindow="1080" windowWidth="28100" windowHeight="17360" activeTab="6" xr2:uid="{F69841D7-55C0-D543-A808-2B59E5B84177}"/>
  </bookViews>
  <sheets>
    <sheet name="电流电压曲线" sheetId="1" r:id="rId1"/>
    <sheet name="频率电压曲线" sheetId="2" r:id="rId2"/>
    <sheet name="功率频率曲线" sheetId="6" r:id="rId3"/>
    <sheet name="谐振曲线" sheetId="3" r:id="rId4"/>
    <sheet name="Sheet1" sheetId="4" r:id="rId5"/>
    <sheet name="Sheet2" sheetId="5" r:id="rId6"/>
    <sheet name="高斯计测电流和磁场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2" i="3"/>
</calcChain>
</file>

<file path=xl/sharedStrings.xml><?xml version="1.0" encoding="utf-8"?>
<sst xmlns="http://schemas.openxmlformats.org/spreadsheetml/2006/main" count="12" uniqueCount="11">
  <si>
    <t>current</t>
    <phoneticPr fontId="1" type="noConversion"/>
  </si>
  <si>
    <t>T</t>
    <phoneticPr fontId="1" type="noConversion"/>
  </si>
  <si>
    <t>f</t>
    <phoneticPr fontId="1" type="noConversion"/>
  </si>
  <si>
    <t>voltage</t>
    <phoneticPr fontId="1" type="noConversion"/>
  </si>
  <si>
    <t>voltage/V</t>
    <phoneticPr fontId="1" type="noConversion"/>
  </si>
  <si>
    <t>frequency/MHz</t>
    <phoneticPr fontId="1" type="noConversion"/>
  </si>
  <si>
    <t>frequency/GHz</t>
    <phoneticPr fontId="1" type="noConversion"/>
  </si>
  <si>
    <t>power/{\mu A}</t>
    <phoneticPr fontId="1" type="noConversion"/>
  </si>
  <si>
    <t>magnetic field intensity/A</t>
    <phoneticPr fontId="1" type="noConversion"/>
  </si>
  <si>
    <t>current/A</t>
    <phoneticPr fontId="1" type="noConversion"/>
  </si>
  <si>
    <t>magnetic induction intensity/mT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</si>
</sst>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rgb="FF1D1D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电流电压曲线!$A$2:$A$35</c:f>
              <c:numCache>
                <c:formatCode>General</c:formatCode>
                <c:ptCount val="34"/>
                <c:pt idx="0">
                  <c:v>0</c:v>
                </c:pt>
                <c:pt idx="1">
                  <c:v>0.49</c:v>
                </c:pt>
                <c:pt idx="2">
                  <c:v>0.98</c:v>
                </c:pt>
                <c:pt idx="3">
                  <c:v>1.51</c:v>
                </c:pt>
                <c:pt idx="4">
                  <c:v>2.02</c:v>
                </c:pt>
                <c:pt idx="5">
                  <c:v>2.5299999999999998</c:v>
                </c:pt>
                <c:pt idx="6">
                  <c:v>3.08</c:v>
                </c:pt>
                <c:pt idx="7">
                  <c:v>3.47</c:v>
                </c:pt>
                <c:pt idx="8">
                  <c:v>4.2699999999999996</c:v>
                </c:pt>
                <c:pt idx="9">
                  <c:v>4.68</c:v>
                </c:pt>
                <c:pt idx="10">
                  <c:v>5.22</c:v>
                </c:pt>
                <c:pt idx="11">
                  <c:v>5.72</c:v>
                </c:pt>
                <c:pt idx="12">
                  <c:v>6.11</c:v>
                </c:pt>
                <c:pt idx="13">
                  <c:v>6.77</c:v>
                </c:pt>
                <c:pt idx="14">
                  <c:v>7.37</c:v>
                </c:pt>
                <c:pt idx="15">
                  <c:v>7.74</c:v>
                </c:pt>
                <c:pt idx="16">
                  <c:v>8.2100000000000009</c:v>
                </c:pt>
                <c:pt idx="17">
                  <c:v>8.67</c:v>
                </c:pt>
                <c:pt idx="18">
                  <c:v>9.2200000000000006</c:v>
                </c:pt>
                <c:pt idx="19">
                  <c:v>9.61</c:v>
                </c:pt>
                <c:pt idx="20">
                  <c:v>10.88</c:v>
                </c:pt>
                <c:pt idx="21">
                  <c:v>11.49</c:v>
                </c:pt>
                <c:pt idx="22">
                  <c:v>11.93</c:v>
                </c:pt>
                <c:pt idx="23">
                  <c:v>12.19</c:v>
                </c:pt>
                <c:pt idx="24">
                  <c:v>12.72</c:v>
                </c:pt>
                <c:pt idx="25">
                  <c:v>13.47</c:v>
                </c:pt>
                <c:pt idx="26">
                  <c:v>9.92</c:v>
                </c:pt>
                <c:pt idx="27">
                  <c:v>10.37</c:v>
                </c:pt>
                <c:pt idx="28">
                  <c:v>3.79</c:v>
                </c:pt>
                <c:pt idx="29">
                  <c:v>3.36</c:v>
                </c:pt>
                <c:pt idx="30">
                  <c:v>3.1</c:v>
                </c:pt>
                <c:pt idx="31">
                  <c:v>3.14</c:v>
                </c:pt>
              </c:numCache>
            </c:numRef>
          </c:xVal>
          <c:yVal>
            <c:numRef>
              <c:f>电流电压曲线!$B$2:$B$35</c:f>
              <c:numCache>
                <c:formatCode>General</c:formatCode>
                <c:ptCount val="34"/>
                <c:pt idx="0">
                  <c:v>0</c:v>
                </c:pt>
                <c:pt idx="1">
                  <c:v>109</c:v>
                </c:pt>
                <c:pt idx="2">
                  <c:v>205</c:v>
                </c:pt>
                <c:pt idx="3">
                  <c:v>294</c:v>
                </c:pt>
                <c:pt idx="4">
                  <c:v>364</c:v>
                </c:pt>
                <c:pt idx="5">
                  <c:v>410</c:v>
                </c:pt>
                <c:pt idx="6">
                  <c:v>426</c:v>
                </c:pt>
                <c:pt idx="7">
                  <c:v>370</c:v>
                </c:pt>
                <c:pt idx="8">
                  <c:v>362</c:v>
                </c:pt>
                <c:pt idx="9">
                  <c:v>359</c:v>
                </c:pt>
                <c:pt idx="10">
                  <c:v>350</c:v>
                </c:pt>
                <c:pt idx="11">
                  <c:v>342</c:v>
                </c:pt>
                <c:pt idx="12">
                  <c:v>340</c:v>
                </c:pt>
                <c:pt idx="13">
                  <c:v>339</c:v>
                </c:pt>
                <c:pt idx="14">
                  <c:v>337</c:v>
                </c:pt>
                <c:pt idx="15">
                  <c:v>335</c:v>
                </c:pt>
                <c:pt idx="16">
                  <c:v>316</c:v>
                </c:pt>
                <c:pt idx="17">
                  <c:v>304</c:v>
                </c:pt>
                <c:pt idx="18">
                  <c:v>301</c:v>
                </c:pt>
                <c:pt idx="19">
                  <c:v>299</c:v>
                </c:pt>
                <c:pt idx="20">
                  <c:v>294</c:v>
                </c:pt>
                <c:pt idx="21">
                  <c:v>292</c:v>
                </c:pt>
                <c:pt idx="22">
                  <c:v>290</c:v>
                </c:pt>
                <c:pt idx="23">
                  <c:v>289</c:v>
                </c:pt>
                <c:pt idx="24">
                  <c:v>288</c:v>
                </c:pt>
                <c:pt idx="25">
                  <c:v>285</c:v>
                </c:pt>
                <c:pt idx="26">
                  <c:v>296</c:v>
                </c:pt>
                <c:pt idx="27">
                  <c:v>295</c:v>
                </c:pt>
                <c:pt idx="28">
                  <c:v>369</c:v>
                </c:pt>
                <c:pt idx="29">
                  <c:v>374</c:v>
                </c:pt>
                <c:pt idx="30">
                  <c:v>423</c:v>
                </c:pt>
                <c:pt idx="31">
                  <c:v>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5-8049-8EE7-D320D8275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854400"/>
        <c:axId val="710855296"/>
      </c:scatterChart>
      <c:valAx>
        <c:axId val="71085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0855296"/>
        <c:crosses val="autoZero"/>
        <c:crossBetween val="midCat"/>
      </c:valAx>
      <c:valAx>
        <c:axId val="7108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085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电流电压曲线!$M$2:$M$33</c:f>
              <c:numCache>
                <c:formatCode>General</c:formatCode>
                <c:ptCount val="32"/>
                <c:pt idx="0">
                  <c:v>0.05</c:v>
                </c:pt>
                <c:pt idx="1">
                  <c:v>0.5</c:v>
                </c:pt>
                <c:pt idx="2">
                  <c:v>1.04</c:v>
                </c:pt>
                <c:pt idx="3">
                  <c:v>1.58</c:v>
                </c:pt>
                <c:pt idx="4">
                  <c:v>2.0699999999999998</c:v>
                </c:pt>
                <c:pt idx="5">
                  <c:v>2.5099999999999998</c:v>
                </c:pt>
                <c:pt idx="6">
                  <c:v>2.98</c:v>
                </c:pt>
                <c:pt idx="7">
                  <c:v>3.5</c:v>
                </c:pt>
                <c:pt idx="8">
                  <c:v>4.08</c:v>
                </c:pt>
                <c:pt idx="9">
                  <c:v>4.53</c:v>
                </c:pt>
                <c:pt idx="10">
                  <c:v>5</c:v>
                </c:pt>
                <c:pt idx="11">
                  <c:v>5.48</c:v>
                </c:pt>
                <c:pt idx="12">
                  <c:v>6.07</c:v>
                </c:pt>
                <c:pt idx="13">
                  <c:v>6.66</c:v>
                </c:pt>
                <c:pt idx="14">
                  <c:v>6.99</c:v>
                </c:pt>
                <c:pt idx="15">
                  <c:v>7.49</c:v>
                </c:pt>
                <c:pt idx="16">
                  <c:v>8.02</c:v>
                </c:pt>
                <c:pt idx="17">
                  <c:v>8.67</c:v>
                </c:pt>
                <c:pt idx="18">
                  <c:v>9.1199999999999992</c:v>
                </c:pt>
                <c:pt idx="19">
                  <c:v>9.6199999999999992</c:v>
                </c:pt>
                <c:pt idx="20">
                  <c:v>10.06</c:v>
                </c:pt>
                <c:pt idx="21">
                  <c:v>10.44</c:v>
                </c:pt>
                <c:pt idx="22">
                  <c:v>11.16</c:v>
                </c:pt>
                <c:pt idx="23">
                  <c:v>11.89</c:v>
                </c:pt>
                <c:pt idx="24">
                  <c:v>12.01</c:v>
                </c:pt>
                <c:pt idx="25">
                  <c:v>12.57</c:v>
                </c:pt>
                <c:pt idx="26">
                  <c:v>13.1</c:v>
                </c:pt>
              </c:numCache>
            </c:numRef>
          </c:xVal>
          <c:yVal>
            <c:numRef>
              <c:f>电流电压曲线!$N$2:$N$33</c:f>
              <c:numCache>
                <c:formatCode>General</c:formatCode>
                <c:ptCount val="32"/>
                <c:pt idx="0">
                  <c:v>11</c:v>
                </c:pt>
                <c:pt idx="1">
                  <c:v>119</c:v>
                </c:pt>
                <c:pt idx="2">
                  <c:v>234</c:v>
                </c:pt>
                <c:pt idx="3">
                  <c:v>330</c:v>
                </c:pt>
                <c:pt idx="4">
                  <c:v>399</c:v>
                </c:pt>
                <c:pt idx="5">
                  <c:v>442</c:v>
                </c:pt>
                <c:pt idx="6">
                  <c:v>467</c:v>
                </c:pt>
                <c:pt idx="7">
                  <c:v>476</c:v>
                </c:pt>
                <c:pt idx="8">
                  <c:v>442</c:v>
                </c:pt>
                <c:pt idx="9">
                  <c:v>436</c:v>
                </c:pt>
                <c:pt idx="10">
                  <c:v>429</c:v>
                </c:pt>
                <c:pt idx="11">
                  <c:v>420</c:v>
                </c:pt>
                <c:pt idx="12">
                  <c:v>414</c:v>
                </c:pt>
                <c:pt idx="13">
                  <c:v>414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419</c:v>
                </c:pt>
                <c:pt idx="18">
                  <c:v>421</c:v>
                </c:pt>
                <c:pt idx="19">
                  <c:v>423</c:v>
                </c:pt>
                <c:pt idx="20">
                  <c:v>405</c:v>
                </c:pt>
                <c:pt idx="21">
                  <c:v>404</c:v>
                </c:pt>
                <c:pt idx="22">
                  <c:v>402</c:v>
                </c:pt>
                <c:pt idx="23">
                  <c:v>400</c:v>
                </c:pt>
                <c:pt idx="24">
                  <c:v>400</c:v>
                </c:pt>
                <c:pt idx="25">
                  <c:v>399</c:v>
                </c:pt>
                <c:pt idx="26">
                  <c:v>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4-7941-AA37-AFF5568E1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337792"/>
        <c:axId val="713332864"/>
      </c:scatterChart>
      <c:valAx>
        <c:axId val="71333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332864"/>
        <c:crosses val="autoZero"/>
        <c:crossBetween val="midCat"/>
      </c:valAx>
      <c:valAx>
        <c:axId val="7133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33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频率电压曲线!$A$2:$A$8</c:f>
              <c:numCache>
                <c:formatCode>General</c:formatCode>
                <c:ptCount val="7"/>
                <c:pt idx="0">
                  <c:v>10.96</c:v>
                </c:pt>
                <c:pt idx="1">
                  <c:v>10.07</c:v>
                </c:pt>
                <c:pt idx="2">
                  <c:v>11.47</c:v>
                </c:pt>
                <c:pt idx="3">
                  <c:v>11.8</c:v>
                </c:pt>
                <c:pt idx="4">
                  <c:v>12.15</c:v>
                </c:pt>
                <c:pt idx="5">
                  <c:v>12.63</c:v>
                </c:pt>
                <c:pt idx="6">
                  <c:v>13.06</c:v>
                </c:pt>
              </c:numCache>
            </c:numRef>
          </c:xVal>
          <c:yVal>
            <c:numRef>
              <c:f>频率电压曲线!$B$2:$B$8</c:f>
              <c:numCache>
                <c:formatCode>General</c:formatCode>
                <c:ptCount val="7"/>
                <c:pt idx="0">
                  <c:v>8855</c:v>
                </c:pt>
                <c:pt idx="1">
                  <c:v>8810</c:v>
                </c:pt>
                <c:pt idx="2">
                  <c:v>8878</c:v>
                </c:pt>
                <c:pt idx="3">
                  <c:v>8888</c:v>
                </c:pt>
                <c:pt idx="4">
                  <c:v>8901</c:v>
                </c:pt>
                <c:pt idx="5">
                  <c:v>8916</c:v>
                </c:pt>
                <c:pt idx="6">
                  <c:v>8930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5-C244-984F-072A97063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71360"/>
        <c:axId val="1514873152"/>
      </c:scatterChart>
      <c:valAx>
        <c:axId val="151487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4873152"/>
        <c:crosses val="autoZero"/>
        <c:crossBetween val="midCat"/>
      </c:valAx>
      <c:valAx>
        <c:axId val="15148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487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功率频率曲线!$B$1</c:f>
              <c:strCache>
                <c:ptCount val="1"/>
                <c:pt idx="0">
                  <c:v>power/{\mu A}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功率频率曲线!$A$2:$A$28</c:f>
              <c:numCache>
                <c:formatCode>General</c:formatCode>
                <c:ptCount val="27"/>
                <c:pt idx="0">
                  <c:v>8.9019999999999992</c:v>
                </c:pt>
                <c:pt idx="1">
                  <c:v>8.9130000000000003</c:v>
                </c:pt>
                <c:pt idx="2">
                  <c:v>8.9280000000000008</c:v>
                </c:pt>
                <c:pt idx="3">
                  <c:v>8.9420000000000002</c:v>
                </c:pt>
                <c:pt idx="4">
                  <c:v>8.9559999999999995</c:v>
                </c:pt>
                <c:pt idx="5">
                  <c:v>8.968</c:v>
                </c:pt>
                <c:pt idx="6">
                  <c:v>8.98</c:v>
                </c:pt>
                <c:pt idx="7">
                  <c:v>8.9920000000000009</c:v>
                </c:pt>
                <c:pt idx="8">
                  <c:v>9.0039999999999996</c:v>
                </c:pt>
                <c:pt idx="9">
                  <c:v>9.0150000000000006</c:v>
                </c:pt>
                <c:pt idx="10">
                  <c:v>9.0269999999999992</c:v>
                </c:pt>
                <c:pt idx="11">
                  <c:v>9.0380000000000003</c:v>
                </c:pt>
                <c:pt idx="12">
                  <c:v>9.0540000000000003</c:v>
                </c:pt>
                <c:pt idx="13">
                  <c:v>9.0649999999999995</c:v>
                </c:pt>
                <c:pt idx="14">
                  <c:v>9.0749999999999993</c:v>
                </c:pt>
                <c:pt idx="15">
                  <c:v>9.0879999999999992</c:v>
                </c:pt>
                <c:pt idx="16">
                  <c:v>9.0980000000000008</c:v>
                </c:pt>
                <c:pt idx="17">
                  <c:v>9.1059999999999999</c:v>
                </c:pt>
                <c:pt idx="18">
                  <c:v>9.1159999999999997</c:v>
                </c:pt>
                <c:pt idx="19">
                  <c:v>9.1259999999999994</c:v>
                </c:pt>
                <c:pt idx="20">
                  <c:v>9.1419999999999995</c:v>
                </c:pt>
                <c:pt idx="21">
                  <c:v>9.1329999999999991</c:v>
                </c:pt>
                <c:pt idx="22">
                  <c:v>9.15</c:v>
                </c:pt>
                <c:pt idx="23">
                  <c:v>9.1620000000000008</c:v>
                </c:pt>
                <c:pt idx="24">
                  <c:v>9.1720000000000006</c:v>
                </c:pt>
                <c:pt idx="25">
                  <c:v>9.1820000000000004</c:v>
                </c:pt>
                <c:pt idx="26">
                  <c:v>9.1969999999999992</c:v>
                </c:pt>
              </c:numCache>
            </c:numRef>
          </c:xVal>
          <c:yVal>
            <c:numRef>
              <c:f>功率频率曲线!$B$2:$B$28</c:f>
              <c:numCache>
                <c:formatCode>General</c:formatCode>
                <c:ptCount val="27"/>
                <c:pt idx="0">
                  <c:v>78</c:v>
                </c:pt>
                <c:pt idx="1">
                  <c:v>77</c:v>
                </c:pt>
                <c:pt idx="2">
                  <c:v>74.7</c:v>
                </c:pt>
                <c:pt idx="3">
                  <c:v>73.3</c:v>
                </c:pt>
                <c:pt idx="4">
                  <c:v>71.900000000000006</c:v>
                </c:pt>
                <c:pt idx="5">
                  <c:v>70.5</c:v>
                </c:pt>
                <c:pt idx="6">
                  <c:v>69.2</c:v>
                </c:pt>
                <c:pt idx="7">
                  <c:v>68</c:v>
                </c:pt>
                <c:pt idx="8">
                  <c:v>66.8</c:v>
                </c:pt>
                <c:pt idx="9">
                  <c:v>65.3</c:v>
                </c:pt>
                <c:pt idx="10">
                  <c:v>63.9</c:v>
                </c:pt>
                <c:pt idx="11">
                  <c:v>61.2</c:v>
                </c:pt>
                <c:pt idx="12">
                  <c:v>59.2</c:v>
                </c:pt>
                <c:pt idx="13">
                  <c:v>59</c:v>
                </c:pt>
                <c:pt idx="14">
                  <c:v>58.2</c:v>
                </c:pt>
                <c:pt idx="15">
                  <c:v>58.5</c:v>
                </c:pt>
                <c:pt idx="16">
                  <c:v>58.7</c:v>
                </c:pt>
                <c:pt idx="17">
                  <c:v>60</c:v>
                </c:pt>
                <c:pt idx="18">
                  <c:v>60.4</c:v>
                </c:pt>
                <c:pt idx="19">
                  <c:v>61</c:v>
                </c:pt>
                <c:pt idx="20">
                  <c:v>63.2</c:v>
                </c:pt>
                <c:pt idx="21">
                  <c:v>61.9</c:v>
                </c:pt>
                <c:pt idx="22">
                  <c:v>64.2</c:v>
                </c:pt>
                <c:pt idx="23">
                  <c:v>66</c:v>
                </c:pt>
                <c:pt idx="24">
                  <c:v>67.2</c:v>
                </c:pt>
                <c:pt idx="25">
                  <c:v>68.2</c:v>
                </c:pt>
                <c:pt idx="26">
                  <c:v>68.599999999999994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A-2B46-9D1D-6DD9A77F6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000320"/>
        <c:axId val="1497812928"/>
      </c:scatterChart>
      <c:valAx>
        <c:axId val="149800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7812928"/>
        <c:crosses val="autoZero"/>
        <c:crossBetween val="midCat"/>
      </c:valAx>
      <c:valAx>
        <c:axId val="14978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800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谐振曲线!$A$2:$A$12</c:f>
              <c:numCache>
                <c:formatCode>General</c:formatCode>
                <c:ptCount val="11"/>
                <c:pt idx="0">
                  <c:v>9.0649999999999995</c:v>
                </c:pt>
                <c:pt idx="1">
                  <c:v>9.0679999999999996</c:v>
                </c:pt>
                <c:pt idx="2">
                  <c:v>9.0739999999999998</c:v>
                </c:pt>
                <c:pt idx="3">
                  <c:v>9.077</c:v>
                </c:pt>
                <c:pt idx="4">
                  <c:v>9.0790000000000006</c:v>
                </c:pt>
                <c:pt idx="5">
                  <c:v>9.0809999999999995</c:v>
                </c:pt>
                <c:pt idx="6">
                  <c:v>9.0839999999999996</c:v>
                </c:pt>
                <c:pt idx="7">
                  <c:v>9.0850000000000009</c:v>
                </c:pt>
                <c:pt idx="8">
                  <c:v>9.0860000000000003</c:v>
                </c:pt>
                <c:pt idx="9">
                  <c:v>9.0869999999999997</c:v>
                </c:pt>
                <c:pt idx="10">
                  <c:v>9.0909999999999993</c:v>
                </c:pt>
              </c:numCache>
            </c:numRef>
          </c:xVal>
          <c:yVal>
            <c:numRef>
              <c:f>谐振曲线!$B$2:$B$12</c:f>
              <c:numCache>
                <c:formatCode>General</c:formatCode>
                <c:ptCount val="11"/>
                <c:pt idx="0">
                  <c:v>0.12295081967213115</c:v>
                </c:pt>
                <c:pt idx="1">
                  <c:v>0.157103825136612</c:v>
                </c:pt>
                <c:pt idx="2">
                  <c:v>0.30191256830601093</c:v>
                </c:pt>
                <c:pt idx="3">
                  <c:v>0.84836065573770492</c:v>
                </c:pt>
                <c:pt idx="4">
                  <c:v>1.174863387978142</c:v>
                </c:pt>
                <c:pt idx="5">
                  <c:v>1.2978142076502732</c:v>
                </c:pt>
                <c:pt idx="6">
                  <c:v>0.96174863387978149</c:v>
                </c:pt>
                <c:pt idx="7">
                  <c:v>0.68032786885245899</c:v>
                </c:pt>
                <c:pt idx="8">
                  <c:v>0.48770491803278693</c:v>
                </c:pt>
                <c:pt idx="9">
                  <c:v>0.3551912568306011</c:v>
                </c:pt>
                <c:pt idx="10">
                  <c:v>0.10655737704918032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E-394E-82B0-98A6D8924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560832"/>
        <c:axId val="770556352"/>
      </c:scatterChart>
      <c:valAx>
        <c:axId val="77056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0556352"/>
        <c:crosses val="autoZero"/>
        <c:crossBetween val="midCat"/>
      </c:valAx>
      <c:valAx>
        <c:axId val="7705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056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1.6879999999999999</c:v>
                </c:pt>
                <c:pt idx="1">
                  <c:v>1.7230000000000001</c:v>
                </c:pt>
                <c:pt idx="2">
                  <c:v>1.776</c:v>
                </c:pt>
                <c:pt idx="3">
                  <c:v>1.7949999999999999</c:v>
                </c:pt>
                <c:pt idx="4">
                  <c:v>1.821</c:v>
                </c:pt>
                <c:pt idx="5">
                  <c:v>1.857</c:v>
                </c:pt>
                <c:pt idx="6">
                  <c:v>1.8839999999999999</c:v>
                </c:pt>
                <c:pt idx="7">
                  <c:v>1.9139999999999999</c:v>
                </c:pt>
                <c:pt idx="8">
                  <c:v>1.9470000000000001</c:v>
                </c:pt>
                <c:pt idx="9">
                  <c:v>1.9710000000000001</c:v>
                </c:pt>
                <c:pt idx="10">
                  <c:v>1.9830000000000001</c:v>
                </c:pt>
                <c:pt idx="11">
                  <c:v>2.0230000000000001</c:v>
                </c:pt>
                <c:pt idx="12">
                  <c:v>2.117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91</c:v>
                </c:pt>
                <c:pt idx="1">
                  <c:v>90.5</c:v>
                </c:pt>
                <c:pt idx="2">
                  <c:v>88.2</c:v>
                </c:pt>
                <c:pt idx="3">
                  <c:v>83</c:v>
                </c:pt>
                <c:pt idx="4">
                  <c:v>71</c:v>
                </c:pt>
                <c:pt idx="5">
                  <c:v>75.5</c:v>
                </c:pt>
                <c:pt idx="6">
                  <c:v>77.5</c:v>
                </c:pt>
                <c:pt idx="7">
                  <c:v>76</c:v>
                </c:pt>
                <c:pt idx="8">
                  <c:v>72.8</c:v>
                </c:pt>
                <c:pt idx="9">
                  <c:v>80.5</c:v>
                </c:pt>
                <c:pt idx="10">
                  <c:v>89</c:v>
                </c:pt>
                <c:pt idx="11">
                  <c:v>92</c:v>
                </c:pt>
                <c:pt idx="12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1-DB40-8A58-2CF1F1C22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433792"/>
        <c:axId val="770436480"/>
      </c:scatterChart>
      <c:valAx>
        <c:axId val="770433792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0436480"/>
        <c:crosses val="autoZero"/>
        <c:crossBetween val="midCat"/>
      </c:valAx>
      <c:valAx>
        <c:axId val="77043648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04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Sheet2!$A$2:$A$18</c:f>
              <c:numCache>
                <c:formatCode>General</c:formatCode>
                <c:ptCount val="17"/>
                <c:pt idx="0">
                  <c:v>0.95</c:v>
                </c:pt>
                <c:pt idx="1">
                  <c:v>1.36</c:v>
                </c:pt>
                <c:pt idx="2">
                  <c:v>1.58</c:v>
                </c:pt>
                <c:pt idx="3">
                  <c:v>1.63</c:v>
                </c:pt>
                <c:pt idx="4">
                  <c:v>1.75</c:v>
                </c:pt>
                <c:pt idx="5">
                  <c:v>1.82</c:v>
                </c:pt>
                <c:pt idx="6">
                  <c:v>1.85</c:v>
                </c:pt>
                <c:pt idx="7">
                  <c:v>1.86</c:v>
                </c:pt>
                <c:pt idx="8">
                  <c:v>1.87</c:v>
                </c:pt>
                <c:pt idx="9">
                  <c:v>1.89</c:v>
                </c:pt>
                <c:pt idx="10">
                  <c:v>1.96</c:v>
                </c:pt>
                <c:pt idx="11">
                  <c:v>2.0099999999999998</c:v>
                </c:pt>
                <c:pt idx="12">
                  <c:v>2.0299999999999998</c:v>
                </c:pt>
                <c:pt idx="13">
                  <c:v>2.13</c:v>
                </c:pt>
                <c:pt idx="14">
                  <c:v>2.2200000000000002</c:v>
                </c:pt>
                <c:pt idx="15">
                  <c:v>2.3199999999999998</c:v>
                </c:pt>
                <c:pt idx="16">
                  <c:v>2.5</c:v>
                </c:pt>
              </c:numCache>
            </c:numRef>
          </c:xVal>
          <c:yVal>
            <c:numRef>
              <c:f>Sheet2!$B$2:$B$18</c:f>
              <c:numCache>
                <c:formatCode>General</c:formatCode>
                <c:ptCount val="17"/>
                <c:pt idx="0">
                  <c:v>88</c:v>
                </c:pt>
                <c:pt idx="1">
                  <c:v>88</c:v>
                </c:pt>
                <c:pt idx="2">
                  <c:v>86</c:v>
                </c:pt>
                <c:pt idx="3">
                  <c:v>78</c:v>
                </c:pt>
                <c:pt idx="4">
                  <c:v>68</c:v>
                </c:pt>
                <c:pt idx="5">
                  <c:v>61</c:v>
                </c:pt>
                <c:pt idx="6">
                  <c:v>55</c:v>
                </c:pt>
                <c:pt idx="7">
                  <c:v>48</c:v>
                </c:pt>
                <c:pt idx="8">
                  <c:v>45.5</c:v>
                </c:pt>
                <c:pt idx="9">
                  <c:v>51.5</c:v>
                </c:pt>
                <c:pt idx="10">
                  <c:v>55</c:v>
                </c:pt>
                <c:pt idx="11">
                  <c:v>66.5</c:v>
                </c:pt>
                <c:pt idx="12">
                  <c:v>78.5</c:v>
                </c:pt>
                <c:pt idx="13">
                  <c:v>88</c:v>
                </c:pt>
                <c:pt idx="14">
                  <c:v>87.5</c:v>
                </c:pt>
                <c:pt idx="15">
                  <c:v>87.5</c:v>
                </c:pt>
                <c:pt idx="16">
                  <c:v>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1-154E-B39F-3FC195FBD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826240"/>
        <c:axId val="1484818176"/>
      </c:scatterChart>
      <c:valAx>
        <c:axId val="148482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4818176"/>
        <c:crosses val="autoZero"/>
        <c:crossBetween val="midCat"/>
      </c:valAx>
      <c:valAx>
        <c:axId val="148481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482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4</xdr:row>
      <xdr:rowOff>139700</xdr:rowOff>
    </xdr:from>
    <xdr:to>
      <xdr:col>9</xdr:col>
      <xdr:colOff>50800</xdr:colOff>
      <xdr:row>19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9281A4-F6A3-CCB9-D493-1C04C9AED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641350</xdr:colOff>
      <xdr:row>8</xdr:row>
      <xdr:rowOff>88900</xdr:rowOff>
    </xdr:from>
    <xdr:to>
      <xdr:col>20</xdr:col>
      <xdr:colOff>260350</xdr:colOff>
      <xdr:row>21</xdr:row>
      <xdr:rowOff>190500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E50DD81-1D34-1C5D-AAD3-15F73D72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1263650</xdr:colOff>
      <xdr:row>14</xdr:row>
      <xdr:rowOff>25400</xdr:rowOff>
    </xdr:from>
    <xdr:to>
      <xdr:col>7</xdr:col>
      <xdr:colOff>349250</xdr:colOff>
      <xdr:row>27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2E74C4B-44FB-2C00-F97B-102FF3992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12</xdr:row>
      <xdr:rowOff>165100</xdr:rowOff>
    </xdr:from>
    <xdr:to>
      <xdr:col>10</xdr:col>
      <xdr:colOff>38100</xdr:colOff>
      <xdr:row>26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AA86A56-CEE6-2AE6-41DB-3304DA9F7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234950</xdr:colOff>
      <xdr:row>8</xdr:row>
      <xdr:rowOff>0</xdr:rowOff>
    </xdr:from>
    <xdr:to>
      <xdr:col>11</xdr:col>
      <xdr:colOff>679450</xdr:colOff>
      <xdr:row>21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6186BB7-0556-3C45-2B58-FEAE4B403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9</xdr:row>
      <xdr:rowOff>0</xdr:rowOff>
    </xdr:from>
    <xdr:to>
      <xdr:col>11</xdr:col>
      <xdr:colOff>736600</xdr:colOff>
      <xdr:row>26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F8859E7-C1B0-7038-1669-C00B0A971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10</xdr:row>
      <xdr:rowOff>63500</xdr:rowOff>
    </xdr:from>
    <xdr:to>
      <xdr:col>11</xdr:col>
      <xdr:colOff>50800</xdr:colOff>
      <xdr:row>22</xdr:row>
      <xdr:rowOff>12700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2E3A051-94A8-B8F8-EADA-400E79F01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287D-4261-E84F-AE6D-30BD61215814}">
  <dimension ref="A1:N33"/>
  <sheetViews>
    <sheetView zoomScale="91" workbookViewId="0">
      <selection activeCell="G25" sqref="G25"/>
    </sheetView>
  </sheetViews>
  <sheetFormatPr baseColWidth="10" defaultRowHeight="16"/>
  <sheetData>
    <row r="1" spans="1:14">
      <c r="A1" t="s">
        <v>3</v>
      </c>
      <c r="B1" t="s">
        <v>0</v>
      </c>
    </row>
    <row r="2" spans="1:14">
      <c r="A2">
        <v>0</v>
      </c>
      <c r="B2">
        <v>0</v>
      </c>
      <c r="M2">
        <v>0.05</v>
      </c>
      <c r="N2">
        <v>11</v>
      </c>
    </row>
    <row r="3" spans="1:14">
      <c r="A3">
        <v>0.49</v>
      </c>
      <c r="B3">
        <v>109</v>
      </c>
      <c r="M3">
        <v>0.5</v>
      </c>
      <c r="N3">
        <v>119</v>
      </c>
    </row>
    <row r="4" spans="1:14">
      <c r="A4">
        <v>0.98</v>
      </c>
      <c r="B4">
        <v>205</v>
      </c>
      <c r="M4">
        <v>1.04</v>
      </c>
      <c r="N4">
        <v>234</v>
      </c>
    </row>
    <row r="5" spans="1:14">
      <c r="A5">
        <v>1.51</v>
      </c>
      <c r="B5">
        <v>294</v>
      </c>
      <c r="M5">
        <v>1.58</v>
      </c>
      <c r="N5">
        <v>330</v>
      </c>
    </row>
    <row r="6" spans="1:14">
      <c r="A6">
        <v>2.02</v>
      </c>
      <c r="B6">
        <v>364</v>
      </c>
      <c r="M6">
        <v>2.0699999999999998</v>
      </c>
      <c r="N6">
        <v>399</v>
      </c>
    </row>
    <row r="7" spans="1:14">
      <c r="A7">
        <v>2.5299999999999998</v>
      </c>
      <c r="B7">
        <v>410</v>
      </c>
      <c r="M7">
        <v>2.5099999999999998</v>
      </c>
      <c r="N7">
        <v>442</v>
      </c>
    </row>
    <row r="8" spans="1:14">
      <c r="A8">
        <v>3.08</v>
      </c>
      <c r="B8">
        <v>426</v>
      </c>
      <c r="M8">
        <v>2.98</v>
      </c>
      <c r="N8">
        <v>467</v>
      </c>
    </row>
    <row r="9" spans="1:14">
      <c r="A9">
        <v>3.47</v>
      </c>
      <c r="B9">
        <v>370</v>
      </c>
      <c r="M9">
        <v>3.5</v>
      </c>
      <c r="N9">
        <v>476</v>
      </c>
    </row>
    <row r="10" spans="1:14">
      <c r="A10">
        <v>4.2699999999999996</v>
      </c>
      <c r="B10">
        <v>362</v>
      </c>
      <c r="M10">
        <v>4.08</v>
      </c>
      <c r="N10">
        <v>442</v>
      </c>
    </row>
    <row r="11" spans="1:14">
      <c r="A11">
        <v>4.68</v>
      </c>
      <c r="B11">
        <v>359</v>
      </c>
      <c r="M11">
        <v>4.53</v>
      </c>
      <c r="N11">
        <v>436</v>
      </c>
    </row>
    <row r="12" spans="1:14">
      <c r="A12">
        <v>5.22</v>
      </c>
      <c r="B12">
        <v>350</v>
      </c>
      <c r="M12">
        <v>5</v>
      </c>
      <c r="N12">
        <v>429</v>
      </c>
    </row>
    <row r="13" spans="1:14">
      <c r="A13">
        <v>5.72</v>
      </c>
      <c r="B13">
        <v>342</v>
      </c>
      <c r="M13">
        <v>5.48</v>
      </c>
      <c r="N13">
        <v>420</v>
      </c>
    </row>
    <row r="14" spans="1:14">
      <c r="A14">
        <v>6.11</v>
      </c>
      <c r="B14">
        <v>340</v>
      </c>
      <c r="M14">
        <v>6.07</v>
      </c>
      <c r="N14">
        <v>414</v>
      </c>
    </row>
    <row r="15" spans="1:14">
      <c r="A15">
        <v>6.77</v>
      </c>
      <c r="B15">
        <v>339</v>
      </c>
      <c r="M15">
        <v>6.66</v>
      </c>
      <c r="N15">
        <v>414</v>
      </c>
    </row>
    <row r="16" spans="1:14">
      <c r="A16">
        <v>7.37</v>
      </c>
      <c r="B16">
        <v>337</v>
      </c>
      <c r="M16">
        <v>6.99</v>
      </c>
      <c r="N16">
        <v>414</v>
      </c>
    </row>
    <row r="17" spans="1:14">
      <c r="A17">
        <v>7.74</v>
      </c>
      <c r="B17">
        <v>335</v>
      </c>
      <c r="M17">
        <v>7.49</v>
      </c>
      <c r="N17">
        <v>415</v>
      </c>
    </row>
    <row r="18" spans="1:14">
      <c r="A18">
        <v>8.2100000000000009</v>
      </c>
      <c r="B18">
        <v>316</v>
      </c>
      <c r="M18">
        <v>8.02</v>
      </c>
      <c r="N18">
        <v>416</v>
      </c>
    </row>
    <row r="19" spans="1:14">
      <c r="A19">
        <v>8.67</v>
      </c>
      <c r="B19">
        <v>304</v>
      </c>
      <c r="M19">
        <v>8.67</v>
      </c>
      <c r="N19">
        <v>419</v>
      </c>
    </row>
    <row r="20" spans="1:14">
      <c r="A20">
        <v>9.2200000000000006</v>
      </c>
      <c r="B20">
        <v>301</v>
      </c>
      <c r="M20">
        <v>9.1199999999999992</v>
      </c>
      <c r="N20">
        <v>421</v>
      </c>
    </row>
    <row r="21" spans="1:14">
      <c r="A21">
        <v>9.61</v>
      </c>
      <c r="B21">
        <v>299</v>
      </c>
      <c r="M21">
        <v>9.6199999999999992</v>
      </c>
      <c r="N21">
        <v>423</v>
      </c>
    </row>
    <row r="22" spans="1:14">
      <c r="A22">
        <v>10.88</v>
      </c>
      <c r="B22">
        <v>294</v>
      </c>
      <c r="M22">
        <v>10.06</v>
      </c>
      <c r="N22">
        <v>405</v>
      </c>
    </row>
    <row r="23" spans="1:14">
      <c r="A23">
        <v>11.49</v>
      </c>
      <c r="B23">
        <v>292</v>
      </c>
      <c r="M23">
        <v>10.44</v>
      </c>
      <c r="N23">
        <v>404</v>
      </c>
    </row>
    <row r="24" spans="1:14">
      <c r="A24">
        <v>11.93</v>
      </c>
      <c r="B24">
        <v>290</v>
      </c>
      <c r="M24">
        <v>11.16</v>
      </c>
      <c r="N24">
        <v>402</v>
      </c>
    </row>
    <row r="25" spans="1:14">
      <c r="A25">
        <v>12.19</v>
      </c>
      <c r="B25">
        <v>289</v>
      </c>
      <c r="M25">
        <v>11.89</v>
      </c>
      <c r="N25">
        <v>400</v>
      </c>
    </row>
    <row r="26" spans="1:14">
      <c r="A26">
        <v>12.72</v>
      </c>
      <c r="B26">
        <v>288</v>
      </c>
      <c r="M26">
        <v>12.01</v>
      </c>
      <c r="N26">
        <v>400</v>
      </c>
    </row>
    <row r="27" spans="1:14">
      <c r="A27">
        <v>13.47</v>
      </c>
      <c r="B27">
        <v>285</v>
      </c>
      <c r="M27">
        <v>12.57</v>
      </c>
      <c r="N27">
        <v>399</v>
      </c>
    </row>
    <row r="28" spans="1:14">
      <c r="A28">
        <v>9.92</v>
      </c>
      <c r="B28">
        <v>296</v>
      </c>
      <c r="M28">
        <v>13.1</v>
      </c>
      <c r="N28">
        <v>398</v>
      </c>
    </row>
    <row r="29" spans="1:14">
      <c r="A29">
        <v>10.37</v>
      </c>
      <c r="B29">
        <v>295</v>
      </c>
    </row>
    <row r="30" spans="1:14">
      <c r="A30">
        <v>3.79</v>
      </c>
      <c r="B30">
        <v>369</v>
      </c>
    </row>
    <row r="31" spans="1:14">
      <c r="A31">
        <v>3.36</v>
      </c>
      <c r="B31">
        <v>374</v>
      </c>
    </row>
    <row r="32" spans="1:14">
      <c r="A32">
        <v>3.1</v>
      </c>
      <c r="B32">
        <v>423</v>
      </c>
    </row>
    <row r="33" spans="1:2">
      <c r="A33">
        <v>3.14</v>
      </c>
      <c r="B33">
        <v>379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2694-8AD2-F34F-99D8-49AB52A4EDED}">
  <dimension ref="A1:B8"/>
  <sheetViews>
    <sheetView workbookViewId="0">
      <selection activeCell="D9" sqref="D9"/>
    </sheetView>
  </sheetViews>
  <sheetFormatPr baseColWidth="10" defaultRowHeight="16"/>
  <cols>
    <col min="1" max="2" width="17.83203125" customWidth="1"/>
  </cols>
  <sheetData>
    <row r="1" spans="1:2">
      <c r="A1" t="s">
        <v>4</v>
      </c>
      <c r="B1" t="s">
        <v>5</v>
      </c>
    </row>
    <row r="2" spans="1:2">
      <c r="A2">
        <v>10.96</v>
      </c>
      <c r="B2">
        <v>8855</v>
      </c>
    </row>
    <row r="3" spans="1:2">
      <c r="A3">
        <v>10.07</v>
      </c>
      <c r="B3">
        <v>8810</v>
      </c>
    </row>
    <row r="4" spans="1:2">
      <c r="A4">
        <v>11.47</v>
      </c>
      <c r="B4">
        <v>8878</v>
      </c>
    </row>
    <row r="5" spans="1:2">
      <c r="A5">
        <v>11.8</v>
      </c>
      <c r="B5">
        <v>8888</v>
      </c>
    </row>
    <row r="6" spans="1:2">
      <c r="A6">
        <v>12.15</v>
      </c>
      <c r="B6">
        <v>8901</v>
      </c>
    </row>
    <row r="7" spans="1:2">
      <c r="A7">
        <v>12.63</v>
      </c>
      <c r="B7">
        <v>8916</v>
      </c>
    </row>
    <row r="8" spans="1:2">
      <c r="A8">
        <v>13.06</v>
      </c>
      <c r="B8">
        <v>8930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645C-0538-3A47-9CA8-72383198F4CA}">
  <dimension ref="A1:B28"/>
  <sheetViews>
    <sheetView workbookViewId="0">
      <selection activeCell="D6" sqref="D6"/>
    </sheetView>
  </sheetViews>
  <sheetFormatPr baseColWidth="10" defaultRowHeight="16"/>
  <cols>
    <col min="1" max="2" width="16.33203125" customWidth="1"/>
  </cols>
  <sheetData>
    <row r="1" spans="1:2">
      <c r="A1" t="s">
        <v>6</v>
      </c>
      <c r="B1" t="s">
        <v>7</v>
      </c>
    </row>
    <row r="2" spans="1:2">
      <c r="A2">
        <v>8.9019999999999992</v>
      </c>
      <c r="B2">
        <v>78</v>
      </c>
    </row>
    <row r="3" spans="1:2">
      <c r="A3">
        <v>8.9130000000000003</v>
      </c>
      <c r="B3">
        <v>77</v>
      </c>
    </row>
    <row r="4" spans="1:2">
      <c r="A4">
        <v>8.9280000000000008</v>
      </c>
      <c r="B4">
        <v>74.7</v>
      </c>
    </row>
    <row r="5" spans="1:2">
      <c r="A5">
        <v>8.9420000000000002</v>
      </c>
      <c r="B5">
        <v>73.3</v>
      </c>
    </row>
    <row r="6" spans="1:2">
      <c r="A6">
        <v>8.9559999999999995</v>
      </c>
      <c r="B6">
        <v>71.900000000000006</v>
      </c>
    </row>
    <row r="7" spans="1:2">
      <c r="A7">
        <v>8.968</v>
      </c>
      <c r="B7">
        <v>70.5</v>
      </c>
    </row>
    <row r="8" spans="1:2">
      <c r="A8">
        <v>8.98</v>
      </c>
      <c r="B8">
        <v>69.2</v>
      </c>
    </row>
    <row r="9" spans="1:2">
      <c r="A9">
        <v>8.9920000000000009</v>
      </c>
      <c r="B9">
        <v>68</v>
      </c>
    </row>
    <row r="10" spans="1:2">
      <c r="A10">
        <v>9.0039999999999996</v>
      </c>
      <c r="B10">
        <v>66.8</v>
      </c>
    </row>
    <row r="11" spans="1:2">
      <c r="A11">
        <v>9.0150000000000006</v>
      </c>
      <c r="B11">
        <v>65.3</v>
      </c>
    </row>
    <row r="12" spans="1:2">
      <c r="A12">
        <v>9.0269999999999992</v>
      </c>
      <c r="B12">
        <v>63.9</v>
      </c>
    </row>
    <row r="13" spans="1:2">
      <c r="A13">
        <v>9.0380000000000003</v>
      </c>
      <c r="B13">
        <v>61.2</v>
      </c>
    </row>
    <row r="14" spans="1:2">
      <c r="A14">
        <v>9.0540000000000003</v>
      </c>
      <c r="B14">
        <v>59.2</v>
      </c>
    </row>
    <row r="15" spans="1:2">
      <c r="A15">
        <v>9.0649999999999995</v>
      </c>
      <c r="B15">
        <v>59</v>
      </c>
    </row>
    <row r="16" spans="1:2">
      <c r="A16">
        <v>9.0749999999999993</v>
      </c>
      <c r="B16">
        <v>58.2</v>
      </c>
    </row>
    <row r="17" spans="1:2">
      <c r="A17">
        <v>9.0879999999999992</v>
      </c>
      <c r="B17">
        <v>58.5</v>
      </c>
    </row>
    <row r="18" spans="1:2">
      <c r="A18">
        <v>9.0980000000000008</v>
      </c>
      <c r="B18">
        <v>58.7</v>
      </c>
    </row>
    <row r="19" spans="1:2">
      <c r="A19">
        <v>9.1059999999999999</v>
      </c>
      <c r="B19">
        <v>60</v>
      </c>
    </row>
    <row r="20" spans="1:2">
      <c r="A20">
        <v>9.1159999999999997</v>
      </c>
      <c r="B20">
        <v>60.4</v>
      </c>
    </row>
    <row r="21" spans="1:2">
      <c r="A21">
        <v>9.1259999999999994</v>
      </c>
      <c r="B21">
        <v>61</v>
      </c>
    </row>
    <row r="22" spans="1:2">
      <c r="A22">
        <v>9.1419999999999995</v>
      </c>
      <c r="B22">
        <v>63.2</v>
      </c>
    </row>
    <row r="23" spans="1:2">
      <c r="A23">
        <v>9.1329999999999991</v>
      </c>
      <c r="B23">
        <v>61.9</v>
      </c>
    </row>
    <row r="24" spans="1:2">
      <c r="A24">
        <v>9.15</v>
      </c>
      <c r="B24">
        <v>64.2</v>
      </c>
    </row>
    <row r="25" spans="1:2">
      <c r="A25">
        <v>9.1620000000000008</v>
      </c>
      <c r="B25">
        <v>66</v>
      </c>
    </row>
    <row r="26" spans="1:2">
      <c r="A26">
        <v>9.1720000000000006</v>
      </c>
      <c r="B26">
        <v>67.2</v>
      </c>
    </row>
    <row r="27" spans="1:2">
      <c r="A27">
        <v>9.1820000000000004</v>
      </c>
      <c r="B27">
        <v>68.2</v>
      </c>
    </row>
    <row r="28" spans="1:2">
      <c r="A28">
        <v>9.1969999999999992</v>
      </c>
      <c r="B28">
        <v>68.599999999999994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9826-A505-DC44-932E-3162AF5CD5B7}">
  <dimension ref="A1:C12"/>
  <sheetViews>
    <sheetView workbookViewId="0">
      <selection activeCell="C17" sqref="C17"/>
    </sheetView>
  </sheetViews>
  <sheetFormatPr baseColWidth="10" defaultRowHeight="16"/>
  <sheetData>
    <row r="1" spans="1:3">
      <c r="A1" t="s">
        <v>2</v>
      </c>
      <c r="B1" t="s">
        <v>1</v>
      </c>
    </row>
    <row r="2" spans="1:3">
      <c r="A2">
        <v>9.0649999999999995</v>
      </c>
      <c r="B2">
        <f>C2/73.2</f>
        <v>0.12295081967213115</v>
      </c>
      <c r="C2">
        <v>9</v>
      </c>
    </row>
    <row r="3" spans="1:3">
      <c r="A3">
        <v>9.0679999999999996</v>
      </c>
      <c r="B3">
        <f>C3/73.2</f>
        <v>0.157103825136612</v>
      </c>
      <c r="C3">
        <v>11.5</v>
      </c>
    </row>
    <row r="4" spans="1:3">
      <c r="A4">
        <v>9.0739999999999998</v>
      </c>
      <c r="B4">
        <f>C4/73.2</f>
        <v>0.30191256830601093</v>
      </c>
      <c r="C4">
        <v>22.1</v>
      </c>
    </row>
    <row r="5" spans="1:3">
      <c r="A5">
        <v>9.077</v>
      </c>
      <c r="B5">
        <f>C5/73.2</f>
        <v>0.84836065573770492</v>
      </c>
      <c r="C5">
        <v>62.1</v>
      </c>
    </row>
    <row r="6" spans="1:3">
      <c r="A6">
        <v>9.0790000000000006</v>
      </c>
      <c r="B6">
        <f>C6/73.2</f>
        <v>1.174863387978142</v>
      </c>
      <c r="C6">
        <v>86</v>
      </c>
    </row>
    <row r="7" spans="1:3">
      <c r="A7">
        <v>9.0809999999999995</v>
      </c>
      <c r="B7">
        <f>C7/73.2</f>
        <v>1.2978142076502732</v>
      </c>
      <c r="C7">
        <v>95</v>
      </c>
    </row>
    <row r="8" spans="1:3">
      <c r="A8">
        <v>9.0839999999999996</v>
      </c>
      <c r="B8">
        <f>C8/73.2</f>
        <v>0.96174863387978149</v>
      </c>
      <c r="C8">
        <v>70.400000000000006</v>
      </c>
    </row>
    <row r="9" spans="1:3">
      <c r="A9">
        <v>9.0850000000000009</v>
      </c>
      <c r="B9">
        <f>C9/73.2</f>
        <v>0.68032786885245899</v>
      </c>
      <c r="C9">
        <v>49.8</v>
      </c>
    </row>
    <row r="10" spans="1:3">
      <c r="A10">
        <v>9.0860000000000003</v>
      </c>
      <c r="B10">
        <f>C10/73.2</f>
        <v>0.48770491803278693</v>
      </c>
      <c r="C10">
        <v>35.700000000000003</v>
      </c>
    </row>
    <row r="11" spans="1:3">
      <c r="A11">
        <v>9.0869999999999997</v>
      </c>
      <c r="B11">
        <f>C11/73.2</f>
        <v>0.3551912568306011</v>
      </c>
      <c r="C11">
        <v>26</v>
      </c>
    </row>
    <row r="12" spans="1:3">
      <c r="A12">
        <v>9.0909999999999993</v>
      </c>
      <c r="B12">
        <f>C12/73.2</f>
        <v>0.10655737704918032</v>
      </c>
      <c r="C12">
        <v>7.8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760B-304E-304B-8D12-79D5A8C2163D}">
  <dimension ref="A2:B14"/>
  <sheetViews>
    <sheetView workbookViewId="0">
      <selection activeCell="A2" sqref="A2:B15"/>
    </sheetView>
  </sheetViews>
  <sheetFormatPr baseColWidth="10" defaultRowHeight="16"/>
  <sheetData>
    <row r="2" spans="1:2">
      <c r="A2">
        <v>1.6879999999999999</v>
      </c>
      <c r="B2">
        <v>91</v>
      </c>
    </row>
    <row r="3" spans="1:2">
      <c r="A3">
        <v>1.7230000000000001</v>
      </c>
      <c r="B3">
        <v>90.5</v>
      </c>
    </row>
    <row r="4" spans="1:2">
      <c r="A4">
        <v>1.776</v>
      </c>
      <c r="B4">
        <v>88.2</v>
      </c>
    </row>
    <row r="5" spans="1:2">
      <c r="A5">
        <v>1.7949999999999999</v>
      </c>
      <c r="B5">
        <v>83</v>
      </c>
    </row>
    <row r="6" spans="1:2">
      <c r="A6">
        <v>1.821</v>
      </c>
      <c r="B6">
        <v>71</v>
      </c>
    </row>
    <row r="7" spans="1:2">
      <c r="A7">
        <v>1.857</v>
      </c>
      <c r="B7">
        <v>75.5</v>
      </c>
    </row>
    <row r="8" spans="1:2">
      <c r="A8">
        <v>1.8839999999999999</v>
      </c>
      <c r="B8">
        <v>77.5</v>
      </c>
    </row>
    <row r="9" spans="1:2">
      <c r="A9">
        <v>1.9139999999999999</v>
      </c>
      <c r="B9">
        <v>76</v>
      </c>
    </row>
    <row r="10" spans="1:2">
      <c r="A10">
        <v>1.9470000000000001</v>
      </c>
      <c r="B10">
        <v>72.8</v>
      </c>
    </row>
    <row r="11" spans="1:2">
      <c r="A11">
        <v>1.9710000000000001</v>
      </c>
      <c r="B11">
        <v>80.5</v>
      </c>
    </row>
    <row r="12" spans="1:2">
      <c r="A12">
        <v>1.9830000000000001</v>
      </c>
      <c r="B12">
        <v>89</v>
      </c>
    </row>
    <row r="13" spans="1:2">
      <c r="A13">
        <v>2.0230000000000001</v>
      </c>
      <c r="B13">
        <v>92</v>
      </c>
    </row>
    <row r="14" spans="1:2">
      <c r="A14">
        <v>2.117</v>
      </c>
      <c r="B14">
        <v>93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4E1B-A629-424E-82ED-AA75D276F2C5}">
  <dimension ref="A1:C18"/>
  <sheetViews>
    <sheetView workbookViewId="0"/>
  </sheetViews>
  <sheetFormatPr baseColWidth="10" defaultRowHeight="16"/>
  <cols>
    <col min="1" max="1" width="25.1640625" customWidth="1"/>
    <col min="2" max="2" width="14.83203125" customWidth="1"/>
  </cols>
  <sheetData>
    <row r="1" spans="1:3" ht="20">
      <c r="A1" t="s">
        <v>8</v>
      </c>
      <c r="B1" t="s">
        <v>7</v>
      </c>
      <c r="C1" s="1"/>
    </row>
    <row r="2" spans="1:3" ht="20">
      <c r="A2">
        <v>0.95</v>
      </c>
      <c r="B2">
        <v>88</v>
      </c>
      <c r="C2" s="1"/>
    </row>
    <row r="3" spans="1:3" ht="20">
      <c r="A3">
        <v>1.36</v>
      </c>
      <c r="B3">
        <v>88</v>
      </c>
      <c r="C3" s="1"/>
    </row>
    <row r="4" spans="1:3" ht="20">
      <c r="A4">
        <v>1.58</v>
      </c>
      <c r="B4">
        <v>86</v>
      </c>
      <c r="C4" s="1"/>
    </row>
    <row r="5" spans="1:3" ht="20">
      <c r="A5">
        <v>1.63</v>
      </c>
      <c r="B5">
        <v>78</v>
      </c>
      <c r="C5" s="1"/>
    </row>
    <row r="6" spans="1:3" ht="20">
      <c r="A6">
        <v>1.75</v>
      </c>
      <c r="B6">
        <v>68</v>
      </c>
      <c r="C6" s="1"/>
    </row>
    <row r="7" spans="1:3" ht="20">
      <c r="A7">
        <v>1.82</v>
      </c>
      <c r="B7">
        <v>61</v>
      </c>
      <c r="C7" s="1"/>
    </row>
    <row r="8" spans="1:3" ht="20">
      <c r="A8">
        <v>1.85</v>
      </c>
      <c r="B8">
        <v>55</v>
      </c>
      <c r="C8" s="1"/>
    </row>
    <row r="9" spans="1:3" ht="20">
      <c r="A9">
        <v>1.86</v>
      </c>
      <c r="B9">
        <v>48</v>
      </c>
      <c r="C9" s="1"/>
    </row>
    <row r="10" spans="1:3" ht="20">
      <c r="A10">
        <v>1.87</v>
      </c>
      <c r="B10">
        <v>45.5</v>
      </c>
      <c r="C10" s="1"/>
    </row>
    <row r="11" spans="1:3" ht="20">
      <c r="A11">
        <v>1.89</v>
      </c>
      <c r="B11">
        <v>51.5</v>
      </c>
      <c r="C11" s="1"/>
    </row>
    <row r="12" spans="1:3" ht="20">
      <c r="A12">
        <v>1.96</v>
      </c>
      <c r="B12">
        <v>55</v>
      </c>
      <c r="C12" s="1"/>
    </row>
    <row r="13" spans="1:3" ht="20">
      <c r="A13">
        <v>2.0099999999999998</v>
      </c>
      <c r="B13">
        <v>66.5</v>
      </c>
      <c r="C13" s="1"/>
    </row>
    <row r="14" spans="1:3" ht="20">
      <c r="A14">
        <v>2.0299999999999998</v>
      </c>
      <c r="B14">
        <v>78.5</v>
      </c>
      <c r="C14" s="1"/>
    </row>
    <row r="15" spans="1:3" ht="20">
      <c r="A15">
        <v>2.13</v>
      </c>
      <c r="B15">
        <v>88</v>
      </c>
      <c r="C15" s="1"/>
    </row>
    <row r="16" spans="1:3" ht="20">
      <c r="A16">
        <v>2.2200000000000002</v>
      </c>
      <c r="B16">
        <v>87.5</v>
      </c>
      <c r="C16" s="1"/>
    </row>
    <row r="17" spans="1:3" ht="20">
      <c r="A17">
        <v>2.3199999999999998</v>
      </c>
      <c r="B17">
        <v>87.5</v>
      </c>
      <c r="C17" s="1"/>
    </row>
    <row r="18" spans="1:3">
      <c r="A18">
        <v>2.5</v>
      </c>
      <c r="B18">
        <v>87.5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C0C9-4F4E-444E-8E91-3DD6F8E277D7}">
  <dimension ref="A1:B17"/>
  <sheetViews>
    <sheetView tabSelected="1" workbookViewId="0">
      <selection activeCell="B1" sqref="B1"/>
    </sheetView>
  </sheetViews>
  <sheetFormatPr baseColWidth="10" defaultRowHeight="16"/>
  <cols>
    <col min="2" max="2" width="29.33203125" customWidth="1"/>
  </cols>
  <sheetData>
    <row r="1" spans="1:2">
      <c r="A1" t="s">
        <v>9</v>
      </c>
      <c r="B1" t="s">
        <v>10</v>
      </c>
    </row>
    <row r="2" spans="1:2">
      <c r="A2">
        <v>0.95</v>
      </c>
      <c r="B2">
        <v>150</v>
      </c>
    </row>
    <row r="3" spans="1:2">
      <c r="A3">
        <v>1.1000000000000001</v>
      </c>
      <c r="B3">
        <v>177</v>
      </c>
    </row>
    <row r="4" spans="1:2">
      <c r="A4">
        <v>1.2</v>
      </c>
      <c r="B4">
        <v>193</v>
      </c>
    </row>
    <row r="5" spans="1:2">
      <c r="A5">
        <v>1.3</v>
      </c>
      <c r="B5">
        <v>226</v>
      </c>
    </row>
    <row r="6" spans="1:2">
      <c r="A6">
        <v>1.4</v>
      </c>
      <c r="B6">
        <v>240</v>
      </c>
    </row>
    <row r="7" spans="1:2">
      <c r="A7">
        <v>1.5</v>
      </c>
      <c r="B7">
        <v>257</v>
      </c>
    </row>
    <row r="8" spans="1:2">
      <c r="A8">
        <v>1.6</v>
      </c>
      <c r="B8">
        <v>274</v>
      </c>
    </row>
    <row r="9" spans="1:2">
      <c r="A9">
        <v>1.7</v>
      </c>
      <c r="B9">
        <v>293</v>
      </c>
    </row>
    <row r="10" spans="1:2">
      <c r="A10">
        <v>1.8</v>
      </c>
      <c r="B10">
        <v>306</v>
      </c>
    </row>
    <row r="11" spans="1:2">
      <c r="A11">
        <v>1.9</v>
      </c>
      <c r="B11">
        <v>324</v>
      </c>
    </row>
    <row r="12" spans="1:2">
      <c r="A12">
        <v>2</v>
      </c>
      <c r="B12">
        <v>340</v>
      </c>
    </row>
    <row r="13" spans="1:2">
      <c r="A13">
        <v>2.1</v>
      </c>
      <c r="B13">
        <v>356</v>
      </c>
    </row>
    <row r="14" spans="1:2">
      <c r="A14">
        <v>2.2000000000000002</v>
      </c>
      <c r="B14">
        <v>371</v>
      </c>
    </row>
    <row r="15" spans="1:2">
      <c r="A15">
        <v>2.2999999999999998</v>
      </c>
      <c r="B15">
        <v>385</v>
      </c>
    </row>
    <row r="16" spans="1:2">
      <c r="A16">
        <v>2.4</v>
      </c>
      <c r="B16">
        <v>400</v>
      </c>
    </row>
    <row r="17" spans="1:2">
      <c r="A17">
        <v>2.5</v>
      </c>
      <c r="B17">
        <v>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电流电压曲线</vt:lpstr>
      <vt:lpstr>频率电压曲线</vt:lpstr>
      <vt:lpstr>功率频率曲线</vt:lpstr>
      <vt:lpstr>谐振曲线</vt:lpstr>
      <vt:lpstr>Sheet1</vt:lpstr>
      <vt:lpstr>Sheet2</vt:lpstr>
      <vt:lpstr>高斯计测电流和磁场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Tang</dc:creator>
  <cp:lastModifiedBy>Yi Tang</cp:lastModifiedBy>
  <dcterms:created xsi:type="dcterms:W3CDTF">2026-03-06T06:43:11Z</dcterms:created>
  <dcterms:modified xsi:type="dcterms:W3CDTF">2026-03-10T13:42:55Z</dcterms:modified>
</cp:coreProperties>
</file>