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\for myself\2024.2-2024.6\普物实验2\W2\"/>
    </mc:Choice>
  </mc:AlternateContent>
  <xr:revisionPtr revIDLastSave="0" documentId="13_ncr:1_{044C06F2-A0EE-4669-B070-25DC174C5B92}" xr6:coauthVersionLast="47" xr6:coauthVersionMax="47" xr10:uidLastSave="{00000000-0000-0000-0000-000000000000}"/>
  <bookViews>
    <workbookView xWindow="-120" yWindow="-120" windowWidth="29040" windowHeight="16440" xr2:uid="{F5ABB454-8EAE-4FCF-ADE3-AC64121CD4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2" i="1"/>
  <c r="F11" i="1"/>
  <c r="F3" i="1"/>
  <c r="F4" i="1"/>
  <c r="F5" i="1"/>
  <c r="F6" i="1"/>
  <c r="F7" i="1"/>
  <c r="F8" i="1"/>
  <c r="F9" i="1"/>
  <c r="F10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</calcChain>
</file>

<file path=xl/sharedStrings.xml><?xml version="1.0" encoding="utf-8"?>
<sst xmlns="http://schemas.openxmlformats.org/spreadsheetml/2006/main" count="7" uniqueCount="7">
  <si>
    <t>f</t>
    <phoneticPr fontId="1" type="noConversion"/>
  </si>
  <si>
    <t>f/f_0</t>
    <phoneticPr fontId="1" type="noConversion"/>
  </si>
  <si>
    <t>Detla theta</t>
    <phoneticPr fontId="1" type="noConversion"/>
  </si>
  <si>
    <t>Vpp2</t>
    <phoneticPr fontId="1" type="noConversion"/>
  </si>
  <si>
    <t>Vpp1</t>
    <phoneticPr fontId="1" type="noConversion"/>
  </si>
  <si>
    <t>A</t>
    <phoneticPr fontId="1" type="noConversion"/>
  </si>
  <si>
    <t>A'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</si>
</sst>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760D8-CAF9-4511-A0C9-212083B8E626}">
  <dimension ref="A1:I34"/>
  <sheetViews>
    <sheetView tabSelected="1" workbookViewId="0">
      <selection activeCell="K15" sqref="K15"/>
    </sheetView>
  </sheetViews>
  <sheetFormatPr defaultRowHeight="14.25" x14ac:dyDescent="0.2"/>
  <sheetData>
    <row r="1" spans="1:9" x14ac:dyDescent="0.2">
      <c r="A1" t="s">
        <v>0</v>
      </c>
      <c r="B1" t="s">
        <v>1</v>
      </c>
      <c r="C1" t="s">
        <v>2</v>
      </c>
      <c r="E1" t="s">
        <v>3</v>
      </c>
      <c r="G1" t="s">
        <v>4</v>
      </c>
      <c r="H1" t="s">
        <v>5</v>
      </c>
      <c r="I1" t="s">
        <v>6</v>
      </c>
    </row>
    <row r="2" spans="1:9" x14ac:dyDescent="0.2">
      <c r="A2">
        <v>0.75</v>
      </c>
      <c r="B2">
        <f>A2/1.4853</f>
        <v>0.50494849525348418</v>
      </c>
      <c r="C2">
        <v>-80.22</v>
      </c>
      <c r="D2">
        <f>-C2</f>
        <v>80.22</v>
      </c>
      <c r="E2">
        <v>362.98</v>
      </c>
      <c r="F2">
        <f>E2*0.001</f>
        <v>0.36298000000000002</v>
      </c>
      <c r="G2">
        <v>5.4660000000000002</v>
      </c>
      <c r="H2">
        <f>F2/G2</f>
        <v>6.6406878887669232E-2</v>
      </c>
      <c r="I2">
        <f>2.732*H2</f>
        <v>0.18142359312111236</v>
      </c>
    </row>
    <row r="3" spans="1:9" x14ac:dyDescent="0.2">
      <c r="A3">
        <v>0.93300000000000005</v>
      </c>
      <c r="B3">
        <f t="shared" ref="B3:B34" si="0">A3/1.4853</f>
        <v>0.62815592809533427</v>
      </c>
      <c r="C3">
        <v>-75.52</v>
      </c>
      <c r="D3">
        <f t="shared" ref="D3:D34" si="1">-C3</f>
        <v>75.52</v>
      </c>
      <c r="E3">
        <v>487.08</v>
      </c>
      <c r="F3">
        <f t="shared" ref="F3:F34" si="2">E3*0.001</f>
        <v>0.48708000000000001</v>
      </c>
      <c r="G3">
        <v>4.9034000000000004</v>
      </c>
      <c r="H3">
        <f t="shared" ref="H3:H34" si="3">F3/G3</f>
        <v>9.9335155198433736E-2</v>
      </c>
      <c r="I3">
        <f t="shared" ref="I3:I34" si="4">2.732*H3</f>
        <v>0.27138364400212101</v>
      </c>
    </row>
    <row r="4" spans="1:9" x14ac:dyDescent="0.2">
      <c r="A4">
        <v>1.0369999999999999</v>
      </c>
      <c r="B4">
        <f t="shared" si="0"/>
        <v>0.69817545277048398</v>
      </c>
      <c r="C4">
        <v>-70.88</v>
      </c>
      <c r="D4">
        <f t="shared" si="1"/>
        <v>70.88</v>
      </c>
      <c r="E4">
        <v>564.88</v>
      </c>
      <c r="F4">
        <f t="shared" si="2"/>
        <v>0.56488000000000005</v>
      </c>
      <c r="G4">
        <v>4.4345999999999997</v>
      </c>
      <c r="H4">
        <f t="shared" si="3"/>
        <v>0.12738014702566186</v>
      </c>
      <c r="I4">
        <f t="shared" si="4"/>
        <v>0.34800256167410826</v>
      </c>
    </row>
    <row r="5" spans="1:9" x14ac:dyDescent="0.2">
      <c r="A5">
        <v>1.119</v>
      </c>
      <c r="B5">
        <f t="shared" si="0"/>
        <v>0.75338315491819829</v>
      </c>
      <c r="C5">
        <v>-65.36</v>
      </c>
      <c r="D5">
        <f t="shared" si="1"/>
        <v>65.36</v>
      </c>
      <c r="E5">
        <v>622.36</v>
      </c>
      <c r="F5">
        <f t="shared" si="2"/>
        <v>0.62236000000000002</v>
      </c>
      <c r="G5">
        <v>3.9759000000000002</v>
      </c>
      <c r="H5">
        <f t="shared" si="3"/>
        <v>0.15653311199979877</v>
      </c>
      <c r="I5">
        <f t="shared" si="4"/>
        <v>0.4276484619834503</v>
      </c>
    </row>
    <row r="6" spans="1:9" x14ac:dyDescent="0.2">
      <c r="A6">
        <v>1.1759999999999999</v>
      </c>
      <c r="B6">
        <f t="shared" si="0"/>
        <v>0.79175924055746305</v>
      </c>
      <c r="C6">
        <v>-60.35</v>
      </c>
      <c r="D6">
        <f t="shared" si="1"/>
        <v>60.35</v>
      </c>
      <c r="E6">
        <v>663.63</v>
      </c>
      <c r="F6">
        <f t="shared" si="2"/>
        <v>0.66363000000000005</v>
      </c>
      <c r="G6">
        <v>3.6145999999999998</v>
      </c>
      <c r="H6">
        <f t="shared" si="3"/>
        <v>0.18359707851491178</v>
      </c>
      <c r="I6">
        <f t="shared" si="4"/>
        <v>0.50158721850273902</v>
      </c>
    </row>
    <row r="7" spans="1:9" x14ac:dyDescent="0.2">
      <c r="A7">
        <v>1.224</v>
      </c>
      <c r="B7">
        <f t="shared" si="0"/>
        <v>0.82407594425368602</v>
      </c>
      <c r="C7">
        <v>-55.05</v>
      </c>
      <c r="D7">
        <f t="shared" si="1"/>
        <v>55.05</v>
      </c>
      <c r="E7">
        <v>692.97</v>
      </c>
      <c r="F7">
        <f t="shared" si="2"/>
        <v>0.69297000000000009</v>
      </c>
      <c r="G7">
        <v>3.2968999999999999</v>
      </c>
      <c r="H7">
        <f t="shared" si="3"/>
        <v>0.2101883587612606</v>
      </c>
      <c r="I7">
        <f t="shared" si="4"/>
        <v>0.574234596135764</v>
      </c>
    </row>
    <row r="8" spans="1:9" x14ac:dyDescent="0.2">
      <c r="A8">
        <v>1.256</v>
      </c>
      <c r="B8">
        <f t="shared" si="0"/>
        <v>0.84562041338450145</v>
      </c>
      <c r="C8">
        <v>-50.94</v>
      </c>
      <c r="D8">
        <f t="shared" si="1"/>
        <v>50.94</v>
      </c>
      <c r="E8">
        <v>707.48</v>
      </c>
      <c r="F8">
        <f t="shared" si="2"/>
        <v>0.70748</v>
      </c>
      <c r="G8">
        <v>3.0855000000000001</v>
      </c>
      <c r="H8">
        <f t="shared" si="3"/>
        <v>0.22929184897099333</v>
      </c>
      <c r="I8">
        <f t="shared" si="4"/>
        <v>0.62642533138875378</v>
      </c>
    </row>
    <row r="9" spans="1:9" x14ac:dyDescent="0.2">
      <c r="A9">
        <v>1.2949999999999999</v>
      </c>
      <c r="B9">
        <f t="shared" si="0"/>
        <v>0.87187773513768252</v>
      </c>
      <c r="C9">
        <v>-45.44</v>
      </c>
      <c r="D9">
        <f t="shared" si="1"/>
        <v>45.44</v>
      </c>
      <c r="E9">
        <v>727.4</v>
      </c>
      <c r="F9">
        <f t="shared" si="2"/>
        <v>0.72740000000000005</v>
      </c>
      <c r="G9">
        <v>2.8331</v>
      </c>
      <c r="H9">
        <f t="shared" si="3"/>
        <v>0.25675055592813528</v>
      </c>
      <c r="I9">
        <f t="shared" si="4"/>
        <v>0.70144251879566566</v>
      </c>
    </row>
    <row r="10" spans="1:9" x14ac:dyDescent="0.2">
      <c r="A10">
        <v>1.3180000000000001</v>
      </c>
      <c r="B10">
        <f t="shared" si="0"/>
        <v>0.88736282232545616</v>
      </c>
      <c r="C10">
        <v>-40.4</v>
      </c>
      <c r="D10">
        <f t="shared" si="1"/>
        <v>40.4</v>
      </c>
      <c r="E10">
        <v>739.48</v>
      </c>
      <c r="F10">
        <f t="shared" si="2"/>
        <v>0.73948000000000003</v>
      </c>
      <c r="G10">
        <v>2.6894999999999998</v>
      </c>
      <c r="H10">
        <f t="shared" si="3"/>
        <v>0.27495073433723743</v>
      </c>
      <c r="I10">
        <f t="shared" si="4"/>
        <v>0.7511654062093327</v>
      </c>
    </row>
    <row r="11" spans="1:9" x14ac:dyDescent="0.2">
      <c r="A11">
        <v>1.3440000000000001</v>
      </c>
      <c r="B11">
        <f t="shared" si="0"/>
        <v>0.90486770349424361</v>
      </c>
      <c r="C11">
        <v>-36.36</v>
      </c>
      <c r="D11">
        <f t="shared" si="1"/>
        <v>36.36</v>
      </c>
      <c r="E11">
        <v>747</v>
      </c>
      <c r="F11">
        <f>E11*0.001</f>
        <v>0.747</v>
      </c>
      <c r="G11">
        <v>2.5436000000000001</v>
      </c>
      <c r="H11">
        <f t="shared" si="3"/>
        <v>0.29367825129737379</v>
      </c>
      <c r="I11">
        <f t="shared" si="4"/>
        <v>0.80232898254442531</v>
      </c>
    </row>
    <row r="12" spans="1:9" x14ac:dyDescent="0.2">
      <c r="A12">
        <v>1.367</v>
      </c>
      <c r="B12">
        <f t="shared" si="0"/>
        <v>0.92035279068201703</v>
      </c>
      <c r="C12">
        <v>-30.72</v>
      </c>
      <c r="D12">
        <f t="shared" si="1"/>
        <v>30.72</v>
      </c>
      <c r="E12">
        <v>756.12</v>
      </c>
      <c r="F12">
        <f t="shared" si="2"/>
        <v>0.75612000000000001</v>
      </c>
      <c r="G12">
        <v>2.4230999999999998</v>
      </c>
      <c r="H12">
        <f t="shared" si="3"/>
        <v>0.31204655193760061</v>
      </c>
      <c r="I12">
        <f t="shared" si="4"/>
        <v>0.85251117989352498</v>
      </c>
    </row>
    <row r="13" spans="1:9" x14ac:dyDescent="0.2">
      <c r="A13">
        <v>1.389</v>
      </c>
      <c r="B13">
        <f t="shared" si="0"/>
        <v>0.93516461320945266</v>
      </c>
      <c r="C13">
        <v>-25</v>
      </c>
      <c r="D13">
        <f t="shared" si="1"/>
        <v>25</v>
      </c>
      <c r="E13">
        <v>759.01</v>
      </c>
      <c r="F13">
        <f t="shared" si="2"/>
        <v>0.75900999999999996</v>
      </c>
      <c r="G13">
        <v>2.3279999999999998</v>
      </c>
      <c r="H13">
        <f t="shared" si="3"/>
        <v>0.32603522336769758</v>
      </c>
      <c r="I13">
        <f t="shared" si="4"/>
        <v>0.89072823024054981</v>
      </c>
    </row>
    <row r="14" spans="1:9" x14ac:dyDescent="0.2">
      <c r="A14">
        <v>1.409</v>
      </c>
      <c r="B14">
        <f t="shared" si="0"/>
        <v>0.94862990641621214</v>
      </c>
      <c r="C14">
        <v>-20.350000000000001</v>
      </c>
      <c r="D14">
        <f t="shared" si="1"/>
        <v>20.350000000000001</v>
      </c>
      <c r="E14">
        <v>763.34</v>
      </c>
      <c r="F14">
        <f t="shared" si="2"/>
        <v>0.76334000000000002</v>
      </c>
      <c r="G14">
        <v>2.2542</v>
      </c>
      <c r="H14">
        <f t="shared" si="3"/>
        <v>0.33863011267855558</v>
      </c>
      <c r="I14">
        <f t="shared" si="4"/>
        <v>0.92513746783781392</v>
      </c>
    </row>
    <row r="15" spans="1:9" x14ac:dyDescent="0.2">
      <c r="A15">
        <v>1.427</v>
      </c>
      <c r="B15">
        <f t="shared" si="0"/>
        <v>0.96074867030229583</v>
      </c>
      <c r="C15">
        <v>-15.37</v>
      </c>
      <c r="D15">
        <f t="shared" si="1"/>
        <v>15.37</v>
      </c>
      <c r="E15">
        <v>763.12</v>
      </c>
      <c r="F15">
        <f t="shared" si="2"/>
        <v>0.76312000000000002</v>
      </c>
      <c r="G15">
        <v>2.2035</v>
      </c>
      <c r="H15">
        <f t="shared" si="3"/>
        <v>0.34632176083503519</v>
      </c>
      <c r="I15">
        <f t="shared" si="4"/>
        <v>0.94615105060131621</v>
      </c>
    </row>
    <row r="16" spans="1:9" x14ac:dyDescent="0.2">
      <c r="A16">
        <v>1.4450000000000001</v>
      </c>
      <c r="B16">
        <f t="shared" si="0"/>
        <v>0.9728674341883794</v>
      </c>
      <c r="C16">
        <v>-10.4</v>
      </c>
      <c r="D16">
        <f t="shared" si="1"/>
        <v>10.4</v>
      </c>
      <c r="E16">
        <v>767.3</v>
      </c>
      <c r="F16">
        <f t="shared" si="2"/>
        <v>0.76729999999999998</v>
      </c>
      <c r="G16">
        <v>2.1717</v>
      </c>
      <c r="H16">
        <f t="shared" si="3"/>
        <v>0.35331767739558873</v>
      </c>
      <c r="I16">
        <f t="shared" si="4"/>
        <v>0.96526389464474849</v>
      </c>
    </row>
    <row r="17" spans="1:9" x14ac:dyDescent="0.2">
      <c r="A17">
        <v>1.464</v>
      </c>
      <c r="B17">
        <f t="shared" si="0"/>
        <v>0.98565946273480098</v>
      </c>
      <c r="C17">
        <v>-5.27</v>
      </c>
      <c r="D17">
        <f t="shared" si="1"/>
        <v>5.27</v>
      </c>
      <c r="E17">
        <v>767.22</v>
      </c>
      <c r="F17">
        <f t="shared" si="2"/>
        <v>0.76722000000000001</v>
      </c>
      <c r="G17">
        <v>2.145</v>
      </c>
      <c r="H17">
        <f t="shared" si="3"/>
        <v>0.3576783216783217</v>
      </c>
      <c r="I17">
        <f t="shared" si="4"/>
        <v>0.97717717482517497</v>
      </c>
    </row>
    <row r="18" spans="1:9" x14ac:dyDescent="0.2">
      <c r="A18">
        <v>1.4853000000000001</v>
      </c>
      <c r="B18">
        <f t="shared" si="0"/>
        <v>1</v>
      </c>
      <c r="C18">
        <v>0</v>
      </c>
      <c r="D18">
        <f t="shared" si="1"/>
        <v>0</v>
      </c>
      <c r="E18">
        <v>766</v>
      </c>
      <c r="F18">
        <f t="shared" si="2"/>
        <v>0.76600000000000001</v>
      </c>
      <c r="G18">
        <v>2.1461000000000001</v>
      </c>
      <c r="H18">
        <f t="shared" si="3"/>
        <v>0.35692651786962398</v>
      </c>
      <c r="I18">
        <f t="shared" si="4"/>
        <v>0.97512324681981277</v>
      </c>
    </row>
    <row r="19" spans="1:9" x14ac:dyDescent="0.2">
      <c r="A19">
        <v>1.5029999999999999</v>
      </c>
      <c r="B19">
        <f t="shared" si="0"/>
        <v>1.0119167844879822</v>
      </c>
      <c r="C19">
        <v>5.39</v>
      </c>
      <c r="D19">
        <f t="shared" si="1"/>
        <v>-5.39</v>
      </c>
      <c r="E19">
        <v>766.31</v>
      </c>
      <c r="F19">
        <f t="shared" si="2"/>
        <v>0.76630999999999994</v>
      </c>
      <c r="G19">
        <v>2.1573000000000002</v>
      </c>
      <c r="H19">
        <f t="shared" si="3"/>
        <v>0.35521716961016081</v>
      </c>
      <c r="I19">
        <f t="shared" si="4"/>
        <v>0.97045330737495938</v>
      </c>
    </row>
    <row r="20" spans="1:9" x14ac:dyDescent="0.2">
      <c r="A20">
        <v>1.524</v>
      </c>
      <c r="B20">
        <f t="shared" si="0"/>
        <v>1.0260553423550798</v>
      </c>
      <c r="C20">
        <v>10.99</v>
      </c>
      <c r="D20">
        <f t="shared" si="1"/>
        <v>-10.99</v>
      </c>
      <c r="E20">
        <v>761.82</v>
      </c>
      <c r="F20">
        <f t="shared" si="2"/>
        <v>0.76182000000000005</v>
      </c>
      <c r="G20">
        <v>2.1876000000000002</v>
      </c>
      <c r="H20">
        <f t="shared" si="3"/>
        <v>0.34824465167306634</v>
      </c>
      <c r="I20">
        <f t="shared" si="4"/>
        <v>0.95140438837081731</v>
      </c>
    </row>
    <row r="21" spans="1:9" x14ac:dyDescent="0.2">
      <c r="A21">
        <v>1.542</v>
      </c>
      <c r="B21">
        <f t="shared" si="0"/>
        <v>1.0381741062411634</v>
      </c>
      <c r="C21">
        <v>15.23</v>
      </c>
      <c r="D21">
        <f t="shared" si="1"/>
        <v>-15.23</v>
      </c>
      <c r="E21">
        <v>763.04</v>
      </c>
      <c r="F21">
        <f t="shared" si="2"/>
        <v>0.76303999999999994</v>
      </c>
      <c r="G21">
        <v>2.2219000000000002</v>
      </c>
      <c r="H21">
        <f t="shared" si="3"/>
        <v>0.34341779558035912</v>
      </c>
      <c r="I21">
        <f t="shared" si="4"/>
        <v>0.93821741752554122</v>
      </c>
    </row>
    <row r="22" spans="1:9" x14ac:dyDescent="0.2">
      <c r="A22">
        <v>1.556</v>
      </c>
      <c r="B22">
        <f t="shared" si="0"/>
        <v>1.0475998114858951</v>
      </c>
      <c r="C22">
        <v>21.09</v>
      </c>
      <c r="D22">
        <f t="shared" si="1"/>
        <v>-21.09</v>
      </c>
      <c r="E22">
        <v>760</v>
      </c>
      <c r="F22">
        <f t="shared" si="2"/>
        <v>0.76</v>
      </c>
      <c r="G22">
        <v>2.2974000000000001</v>
      </c>
      <c r="H22">
        <f t="shared" si="3"/>
        <v>0.33080874031513885</v>
      </c>
      <c r="I22">
        <f t="shared" si="4"/>
        <v>0.90376947854095946</v>
      </c>
    </row>
    <row r="23" spans="1:9" x14ac:dyDescent="0.2">
      <c r="A23">
        <v>1.587</v>
      </c>
      <c r="B23">
        <f t="shared" si="0"/>
        <v>1.0684710159563724</v>
      </c>
      <c r="C23">
        <v>25.71</v>
      </c>
      <c r="D23">
        <f t="shared" si="1"/>
        <v>-25.71</v>
      </c>
      <c r="E23">
        <v>753.62</v>
      </c>
      <c r="F23">
        <f t="shared" si="2"/>
        <v>0.75362000000000007</v>
      </c>
      <c r="G23">
        <v>2.3679000000000001</v>
      </c>
      <c r="H23">
        <f t="shared" si="3"/>
        <v>0.31826512943958785</v>
      </c>
      <c r="I23">
        <f t="shared" si="4"/>
        <v>0.86950033362895407</v>
      </c>
    </row>
    <row r="24" spans="1:9" x14ac:dyDescent="0.2">
      <c r="A24">
        <v>1.6120000000000001</v>
      </c>
      <c r="B24">
        <f t="shared" si="0"/>
        <v>1.0853026324648218</v>
      </c>
      <c r="C24">
        <v>30.48</v>
      </c>
      <c r="D24">
        <f t="shared" si="1"/>
        <v>-30.48</v>
      </c>
      <c r="E24">
        <v>746.7</v>
      </c>
      <c r="F24">
        <f t="shared" si="2"/>
        <v>0.74670000000000003</v>
      </c>
      <c r="G24">
        <v>2.4647000000000001</v>
      </c>
      <c r="H24">
        <f t="shared" si="3"/>
        <v>0.30295776362234755</v>
      </c>
      <c r="I24">
        <f t="shared" si="4"/>
        <v>0.82768061021625361</v>
      </c>
    </row>
    <row r="25" spans="1:9" x14ac:dyDescent="0.2">
      <c r="A25">
        <v>1.645</v>
      </c>
      <c r="B25">
        <f t="shared" si="0"/>
        <v>1.1075203662559752</v>
      </c>
      <c r="C25">
        <v>35.409999999999997</v>
      </c>
      <c r="D25">
        <f t="shared" si="1"/>
        <v>-35.409999999999997</v>
      </c>
      <c r="E25">
        <v>740.39</v>
      </c>
      <c r="F25">
        <f t="shared" si="2"/>
        <v>0.74038999999999999</v>
      </c>
      <c r="G25">
        <v>2.5985999999999998</v>
      </c>
      <c r="H25">
        <f t="shared" si="3"/>
        <v>0.28491880243207884</v>
      </c>
      <c r="I25">
        <f t="shared" si="4"/>
        <v>0.77839816824443941</v>
      </c>
    </row>
    <row r="26" spans="1:9" x14ac:dyDescent="0.2">
      <c r="A26">
        <v>1.6779999999999999</v>
      </c>
      <c r="B26">
        <f t="shared" si="0"/>
        <v>1.1297381000471285</v>
      </c>
      <c r="C26">
        <v>40.840000000000003</v>
      </c>
      <c r="D26">
        <f t="shared" si="1"/>
        <v>-40.840000000000003</v>
      </c>
      <c r="E26">
        <v>728.46</v>
      </c>
      <c r="F26">
        <f t="shared" si="2"/>
        <v>0.72846</v>
      </c>
      <c r="G26">
        <v>2.7475999999999998</v>
      </c>
      <c r="H26">
        <f t="shared" si="3"/>
        <v>0.26512592808269037</v>
      </c>
      <c r="I26">
        <f t="shared" si="4"/>
        <v>0.72432403552191016</v>
      </c>
    </row>
    <row r="27" spans="1:9" x14ac:dyDescent="0.2">
      <c r="A27">
        <v>1.722</v>
      </c>
      <c r="B27">
        <f t="shared" si="0"/>
        <v>1.1593617451019995</v>
      </c>
      <c r="C27">
        <v>45</v>
      </c>
      <c r="D27">
        <f t="shared" si="1"/>
        <v>-45</v>
      </c>
      <c r="E27">
        <v>711.59</v>
      </c>
      <c r="F27">
        <f t="shared" si="2"/>
        <v>0.71159000000000006</v>
      </c>
      <c r="G27">
        <v>2.9459</v>
      </c>
      <c r="H27">
        <f t="shared" si="3"/>
        <v>0.24155266641773315</v>
      </c>
      <c r="I27">
        <f t="shared" si="4"/>
        <v>0.65992188465324697</v>
      </c>
    </row>
    <row r="28" spans="1:9" x14ac:dyDescent="0.2">
      <c r="A28">
        <v>1.7789999999999999</v>
      </c>
      <c r="B28">
        <f t="shared" si="0"/>
        <v>1.1977378307412643</v>
      </c>
      <c r="C28">
        <v>51.2</v>
      </c>
      <c r="D28">
        <f t="shared" si="1"/>
        <v>-51.2</v>
      </c>
      <c r="E28">
        <v>694.87</v>
      </c>
      <c r="F28">
        <f t="shared" si="2"/>
        <v>0.69486999999999999</v>
      </c>
      <c r="G28">
        <v>3.1997</v>
      </c>
      <c r="H28">
        <f t="shared" si="3"/>
        <v>0.21716723442822763</v>
      </c>
      <c r="I28">
        <f t="shared" si="4"/>
        <v>0.59330088445791795</v>
      </c>
    </row>
    <row r="29" spans="1:9" x14ac:dyDescent="0.2">
      <c r="A29">
        <v>1.851</v>
      </c>
      <c r="B29">
        <f t="shared" si="0"/>
        <v>1.2462128862855988</v>
      </c>
      <c r="C29">
        <v>56.41</v>
      </c>
      <c r="D29">
        <f t="shared" si="1"/>
        <v>-56.41</v>
      </c>
      <c r="E29">
        <v>663.1</v>
      </c>
      <c r="F29">
        <f t="shared" si="2"/>
        <v>0.66310000000000002</v>
      </c>
      <c r="G29">
        <v>3.4973000000000001</v>
      </c>
      <c r="H29">
        <f t="shared" si="3"/>
        <v>0.18960340834357933</v>
      </c>
      <c r="I29">
        <f t="shared" si="4"/>
        <v>0.51799651159465876</v>
      </c>
    </row>
    <row r="30" spans="1:9" x14ac:dyDescent="0.2">
      <c r="A30">
        <v>1.927</v>
      </c>
      <c r="B30">
        <f t="shared" si="0"/>
        <v>1.2973810004712851</v>
      </c>
      <c r="C30">
        <v>60.29</v>
      </c>
      <c r="D30">
        <f t="shared" si="1"/>
        <v>-60.29</v>
      </c>
      <c r="E30">
        <v>634.22</v>
      </c>
      <c r="F30">
        <f t="shared" si="2"/>
        <v>0.63422000000000001</v>
      </c>
      <c r="G30">
        <v>3.7490000000000001</v>
      </c>
      <c r="H30">
        <f t="shared" si="3"/>
        <v>0.16917044545212057</v>
      </c>
      <c r="I30">
        <f t="shared" si="4"/>
        <v>0.46217365697519341</v>
      </c>
    </row>
    <row r="31" spans="1:9" x14ac:dyDescent="0.2">
      <c r="A31">
        <v>2.0129999999999999</v>
      </c>
      <c r="B31">
        <f t="shared" si="0"/>
        <v>1.3552817612603514</v>
      </c>
      <c r="C31">
        <v>65.13</v>
      </c>
      <c r="D31">
        <f t="shared" si="1"/>
        <v>-65.13</v>
      </c>
      <c r="E31">
        <v>599.79</v>
      </c>
      <c r="F31">
        <f t="shared" si="2"/>
        <v>0.59978999999999993</v>
      </c>
      <c r="G31">
        <v>4.0578000000000003</v>
      </c>
      <c r="H31">
        <f t="shared" si="3"/>
        <v>0.1478116220612154</v>
      </c>
      <c r="I31">
        <f t="shared" si="4"/>
        <v>0.40382135147124049</v>
      </c>
    </row>
    <row r="32" spans="1:9" x14ac:dyDescent="0.2">
      <c r="A32">
        <v>2.2469999999999999</v>
      </c>
      <c r="B32">
        <f t="shared" si="0"/>
        <v>1.5128256917794383</v>
      </c>
      <c r="C32">
        <v>70.790000000000006</v>
      </c>
      <c r="D32">
        <f t="shared" si="1"/>
        <v>-70.790000000000006</v>
      </c>
      <c r="E32">
        <v>517.79</v>
      </c>
      <c r="F32">
        <f t="shared" si="2"/>
        <v>0.51778999999999997</v>
      </c>
      <c r="G32">
        <v>4.6135999999999999</v>
      </c>
      <c r="H32">
        <f t="shared" si="3"/>
        <v>0.1122312294087047</v>
      </c>
      <c r="I32">
        <f t="shared" si="4"/>
        <v>0.30661571874458127</v>
      </c>
    </row>
    <row r="33" spans="1:9" x14ac:dyDescent="0.2">
      <c r="A33">
        <v>2.5270000000000001</v>
      </c>
      <c r="B33">
        <f t="shared" si="0"/>
        <v>1.7013397966740726</v>
      </c>
      <c r="C33">
        <v>75.19</v>
      </c>
      <c r="D33">
        <f t="shared" si="1"/>
        <v>-75.19</v>
      </c>
      <c r="E33">
        <v>442.78</v>
      </c>
      <c r="F33">
        <f t="shared" si="2"/>
        <v>0.44278000000000001</v>
      </c>
      <c r="G33">
        <v>5.0166000000000004</v>
      </c>
      <c r="H33">
        <f t="shared" si="3"/>
        <v>8.8262966949726906E-2</v>
      </c>
      <c r="I33">
        <f t="shared" si="4"/>
        <v>0.24113442570665392</v>
      </c>
    </row>
    <row r="34" spans="1:9" x14ac:dyDescent="0.2">
      <c r="A34">
        <v>3.327</v>
      </c>
      <c r="B34">
        <f t="shared" si="0"/>
        <v>2.2399515249444555</v>
      </c>
      <c r="C34">
        <v>81</v>
      </c>
      <c r="D34">
        <f t="shared" si="1"/>
        <v>-81</v>
      </c>
      <c r="E34">
        <v>313.8</v>
      </c>
      <c r="F34">
        <f t="shared" si="2"/>
        <v>0.31380000000000002</v>
      </c>
      <c r="G34">
        <v>5.5252999999999997</v>
      </c>
      <c r="H34">
        <f t="shared" si="3"/>
        <v>5.6793296291604081E-2</v>
      </c>
      <c r="I34">
        <f t="shared" si="4"/>
        <v>0.15515928546866237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学生</dc:creator>
  <cp:lastModifiedBy>学生</cp:lastModifiedBy>
  <dcterms:created xsi:type="dcterms:W3CDTF">2024-02-29T14:15:59Z</dcterms:created>
  <dcterms:modified xsi:type="dcterms:W3CDTF">2024-03-01T05:14:36Z</dcterms:modified>
</cp:coreProperties>
</file>